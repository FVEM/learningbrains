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puestas_Itinerario" sheetId="1" state="visible" r:id="rId1"/>
    <sheet xmlns:r="http://schemas.openxmlformats.org/officeDocument/2006/relationships" name="Codebook_Preguntas" sheetId="2" state="visible" r:id="rId2"/>
    <sheet xmlns:r="http://schemas.openxmlformats.org/officeDocument/2006/relationships" name="KPI_Dashboard" sheetId="3" state="visible" r:id="rId3"/>
  </sheets>
  <definedNames>
    <definedName name="_xlnm._FilterDatabase" localSheetId="0" hidden="1">'Respuestas_Itinerario'!$A$2:$AU$3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13"/>
    </font>
    <font>
      <name val="Calibri"/>
      <b val="1"/>
      <color rgb="0092400E"/>
      <sz val="10"/>
    </font>
  </fonts>
  <fills count="12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4F46E5"/>
        <bgColor rgb="004F46E5"/>
      </patternFill>
    </fill>
    <fill>
      <patternFill patternType="solid">
        <fgColor rgb="000284C7"/>
        <bgColor rgb="000284C7"/>
      </patternFill>
    </fill>
    <fill>
      <patternFill patternType="solid">
        <fgColor rgb="007C3AED"/>
        <bgColor rgb="007C3AED"/>
      </patternFill>
    </fill>
    <fill>
      <patternFill patternType="solid">
        <fgColor rgb="000D9488"/>
        <bgColor rgb="000D9488"/>
      </patternFill>
    </fill>
    <fill>
      <patternFill patternType="solid">
        <fgColor rgb="00059669"/>
        <bgColor rgb="00059669"/>
      </patternFill>
    </fill>
    <fill>
      <patternFill patternType="solid">
        <fgColor rgb="00D97706"/>
        <bgColor rgb="00D97706"/>
      </patternFill>
    </fill>
    <fill>
      <patternFill patternType="solid">
        <fgColor rgb="00475569"/>
        <bgColor rgb="0047556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1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2" fontId="3" fillId="11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2" fontId="3" fillId="0" borderId="1" applyAlignment="1" pivotButton="0" quotePrefix="0" xfId="0">
      <alignment horizontal="center"/>
    </xf>
    <xf numFmtId="0" fontId="7" fillId="11" borderId="1" pivotButton="0" quotePrefix="0" xfId="0"/>
    <xf numFmtId="2" fontId="7" fillId="11" borderId="1" applyAlignment="1" pivotButton="0" quotePrefix="0" xfId="0">
      <alignment horizontal="center"/>
    </xf>
    <xf numFmtId="0" fontId="7" fillId="11" borderId="1" applyAlignment="1" pivotButton="0" quotePrefix="0" xfId="0">
      <alignment horizontal="center"/>
    </xf>
    <xf numFmtId="0" fontId="7" fillId="11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3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0" customWidth="1" min="3" max="3"/>
    <col width="24" customWidth="1" min="4" max="4"/>
    <col width="26" customWidth="1" min="5" max="5"/>
    <col width="26" customWidth="1" min="6" max="6"/>
    <col width="10" customWidth="1" min="7" max="7"/>
    <col width="22" customWidth="1" min="8" max="8"/>
    <col width="20" customWidth="1" min="9" max="9"/>
    <col width="16" customWidth="1" min="10" max="10"/>
    <col width="18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5" customWidth="1" min="44" max="44"/>
    <col width="40" customWidth="1" min="45" max="45"/>
    <col width="40" customWidth="1" min="46" max="46"/>
    <col width="40" customWidth="1" min="47" max="47"/>
  </cols>
  <sheetData>
    <row r="1" ht="28" customHeight="1">
      <c r="A1" s="1" t="inlineStr">
        <is>
          <t>1. METADATOS Y PERFIL DEL EVALUADOR / METADATA &amp; EVALUATOR PROFILE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3" t="inlineStr">
        <is>
          <t>2. OBJETO Y PERTINENCIA / PURPOSE &amp; RELEVANCE (P1-P4)</t>
        </is>
      </c>
      <c r="M1" s="4" t="n"/>
      <c r="N1" s="4" t="n"/>
      <c r="O1" s="4" t="n"/>
      <c r="P1" s="5" t="inlineStr">
        <is>
          <t>3. ESTRUCTURA Y COHERENCIA / STRUCTURE &amp; COHERENCE (S1-S4)</t>
        </is>
      </c>
      <c r="Q1" s="6" t="n"/>
      <c r="R1" s="6" t="n"/>
      <c r="S1" s="6" t="n"/>
      <c r="T1" s="7" t="inlineStr">
        <is>
          <t>4. UNIDADES DE APRENDIZAJE / LEARNING UNITS (U1-U5)</t>
        </is>
      </c>
      <c r="U1" s="8" t="n"/>
      <c r="V1" s="8" t="n"/>
      <c r="W1" s="8" t="n"/>
      <c r="X1" s="8" t="n"/>
      <c r="Y1" s="9" t="inlineStr">
        <is>
          <t>5. PRINCIPIOS ÉTICOS Y LEGALES / ETHICS &amp; INCLUSION (E1-E4)</t>
        </is>
      </c>
      <c r="Z1" s="10" t="n"/>
      <c r="AA1" s="10" t="n"/>
      <c r="AB1" s="10" t="n"/>
      <c r="AC1" s="11" t="inlineStr">
        <is>
          <t>6. MARCO DE COMPETENCIAS / COMPETENCE FRAMEWORK (C1-C4)</t>
        </is>
      </c>
      <c r="AD1" s="12" t="n"/>
      <c r="AE1" s="12" t="n"/>
      <c r="AF1" s="12" t="n"/>
      <c r="AG1" s="13" t="inlineStr">
        <is>
          <t>7. USO PRÁCTICO Y TRANSFERIBILIDAD / PRACTICAL USE &amp; TRANSFER (T1-T5)</t>
        </is>
      </c>
      <c r="AH1" s="14" t="n"/>
      <c r="AI1" s="14" t="n"/>
      <c r="AJ1" s="14" t="n"/>
      <c r="AK1" s="14" t="n"/>
      <c r="AL1" s="15" t="inlineStr">
        <is>
          <t>PROMEDIOS CALCULADOS (1-5) / CALCULATED AVERAGES</t>
        </is>
      </c>
      <c r="AM1" s="16" t="n"/>
      <c r="AN1" s="16" t="n"/>
      <c r="AO1" s="16" t="n"/>
      <c r="AP1" s="16" t="n"/>
      <c r="AQ1" s="16" t="n"/>
      <c r="AR1" s="16" t="n"/>
      <c r="AS1" s="17" t="inlineStr">
        <is>
          <t>8. COMENTARIOS CUALITATIVOS / QUALITATIVE FEEDBACK</t>
        </is>
      </c>
      <c r="AT1" s="18" t="n"/>
      <c r="AU1" s="18" t="n"/>
    </row>
    <row r="2" ht="36" customHeight="1">
      <c r="A2" s="19" t="inlineStr">
        <is>
          <t>Timestamp
(Fecha y hora (UTC))</t>
        </is>
      </c>
      <c r="B2" s="19" t="inlineStr">
        <is>
          <t>Campaign
(ID Campaña)</t>
        </is>
      </c>
      <c r="C2" s="19" t="inlineStr">
        <is>
          <t>Language
(Idioma)</t>
        </is>
      </c>
      <c r="D2" s="19" t="inlineStr">
        <is>
          <t>Name
(Nombre y Apellidos)</t>
        </is>
      </c>
      <c r="E2" s="19" t="inlineStr">
        <is>
          <t>Email</t>
        </is>
      </c>
      <c r="F2" s="19" t="inlineStr">
        <is>
          <t>Organization
(Organización / Entidad)</t>
        </is>
      </c>
      <c r="G2" s="19" t="inlineStr">
        <is>
          <t>Country
(País)</t>
        </is>
      </c>
      <c r="H2" s="19" t="inlineStr">
        <is>
          <t>Profile
(Perfil Profesional)</t>
        </is>
      </c>
      <c r="I2" s="19" t="inlineStr">
        <is>
          <t>Other_Detail
(Detalle otro perfil)</t>
        </is>
      </c>
      <c r="J2" s="19" t="inlineStr">
        <is>
          <t>Experience
(Años Experiencia)</t>
        </is>
      </c>
      <c r="K2" s="19" t="inlineStr">
        <is>
          <t>AI_Level
(Nivel Experiencia IA)</t>
        </is>
      </c>
      <c r="L2" s="20" t="inlineStr">
        <is>
          <t>P1
(P1: Necesidades puesto trabajo)</t>
        </is>
      </c>
      <c r="M2" s="20" t="inlineStr">
        <is>
          <t>P2
(P2: Objetivos claros)</t>
        </is>
      </c>
      <c r="N2" s="20" t="inlineStr">
        <is>
          <t>P3
(P3: Destinatarios claros)</t>
        </is>
      </c>
      <c r="O2" s="20" t="inlineStr">
        <is>
          <t>P4
(P4: Relevancia RRHH/formadores)</t>
        </is>
      </c>
      <c r="P2" s="21" t="inlineStr">
        <is>
          <t>S1
(S1: Estructura clara y navegable)</t>
        </is>
      </c>
      <c r="Q2" s="21" t="inlineStr">
        <is>
          <t>S2
(S2: División en 4 partes útil)</t>
        </is>
      </c>
      <c r="R2" s="21" t="inlineStr">
        <is>
          <t>S3
(S3: Conexión marcos europeos)</t>
        </is>
      </c>
      <c r="S2" s="21" t="inlineStr">
        <is>
          <t>S4
(S4: Progresión coherente)</t>
        </is>
      </c>
      <c r="T2" s="22" t="inlineStr">
        <is>
          <t>U1
(U1: Cobertura competencias)</t>
        </is>
      </c>
      <c r="U2" s="22" t="inlineStr">
        <is>
          <t>U2
(U2: Claridad enfoque unidades)</t>
        </is>
      </c>
      <c r="V2" s="22" t="inlineStr">
        <is>
          <t>U3
(U3: Resultados realistas)</t>
        </is>
      </c>
      <c r="W2" s="22" t="inlineStr">
        <is>
          <t>U4
(U4: Equilibrio concepto/práctica)</t>
        </is>
      </c>
      <c r="X2" s="22" t="inlineStr">
        <is>
          <t>U5
(U5: Adaptable a perfiles/empresas)</t>
        </is>
      </c>
      <c r="Y2" s="23" t="inlineStr">
        <is>
          <t>E1
(E1: Integración ética/legal)</t>
        </is>
      </c>
      <c r="Z2" s="23" t="inlineStr">
        <is>
          <t>E2
(E2: Adecuado a destinatarios)</t>
        </is>
      </c>
      <c r="AA2" s="23" t="inlineStr">
        <is>
          <t>E3
(E3: Conexión selección herramientas)</t>
        </is>
      </c>
      <c r="AB2" s="23" t="inlineStr">
        <is>
          <t>E4
(E4: Equidad e inclusión)</t>
        </is>
      </c>
      <c r="AC2" s="24" t="inlineStr">
        <is>
          <t>C1
(C1: Estructura KSA adecuada)</t>
        </is>
      </c>
      <c r="AD2" s="24" t="inlineStr">
        <is>
          <t>C2
(C2: Alineación con unidades)</t>
        </is>
      </c>
      <c r="AE2" s="24" t="inlineStr">
        <is>
          <t>C3
(C3: Actitudes responsables IA)</t>
        </is>
      </c>
      <c r="AF2" s="24" t="inlineStr">
        <is>
          <t>C4
(C4: Base para nuevos contenidos)</t>
        </is>
      </c>
      <c r="AG2" s="25" t="inlineStr">
        <is>
          <t>T1
(T1: Guía para Programa Formativo)</t>
        </is>
      </c>
      <c r="AH2" s="25" t="inlineStr">
        <is>
          <t>T2
(T2: Guía para formadores útil)</t>
        </is>
      </c>
      <c r="AI2" s="25" t="inlineStr">
        <is>
          <t>T3
(T3: Hoja de ruta adaptación)</t>
        </is>
      </c>
      <c r="AJ2" s="25" t="inlineStr">
        <is>
          <t>T4
(T4: Claridad agentes externos)</t>
        </is>
      </c>
      <c r="AK2" s="25" t="inlineStr">
        <is>
          <t>T5
(T5: Potencial contextos europeos)</t>
        </is>
      </c>
      <c r="AL2" s="26" t="inlineStr">
        <is>
          <t>Media_P
(Media Sec 2 (Objeto))</t>
        </is>
      </c>
      <c r="AM2" s="26" t="inlineStr">
        <is>
          <t>Media_S
(Media Sec 3 (Estructura))</t>
        </is>
      </c>
      <c r="AN2" s="26" t="inlineStr">
        <is>
          <t>Media_U
(Media Sec 4 (Unidades))</t>
        </is>
      </c>
      <c r="AO2" s="26" t="inlineStr">
        <is>
          <t>Media_E
(Media Sec 5 (Ética))</t>
        </is>
      </c>
      <c r="AP2" s="26" t="inlineStr">
        <is>
          <t>Media_C
(Media Sec 6 (Competencias))</t>
        </is>
      </c>
      <c r="AQ2" s="26" t="inlineStr">
        <is>
          <t>Media_T
(Media Sec 7 (Transferencia))</t>
        </is>
      </c>
      <c r="AR2" s="26" t="inlineStr">
        <is>
          <t>Media_Global
(Media Global (1-5))</t>
        </is>
      </c>
      <c r="AS2" s="27" t="inlineStr">
        <is>
          <t>Q1_Strengths
(Q1: Puntos fuertes principales)</t>
        </is>
      </c>
      <c r="AT2" s="27" t="inlineStr">
        <is>
          <t>Q2_Improvements
(Q2: Aspectos a revisar o mejorar)</t>
        </is>
      </c>
      <c r="AU2" s="27" t="inlineStr">
        <is>
          <t>Q3_Missing_Topics
(Q3: Temas o competencias ausentes)</t>
        </is>
      </c>
    </row>
    <row r="3">
      <c r="A3" s="28" t="inlineStr">
        <is>
          <t>2026-09-22 14:30:00</t>
        </is>
      </c>
      <c r="B3" s="28" t="inlineStr">
        <is>
          <t>itinerario-formativo</t>
        </is>
      </c>
      <c r="C3" s="28" t="inlineStr">
        <is>
          <t>ES</t>
        </is>
      </c>
      <c r="D3" s="29" t="inlineStr">
        <is>
          <t>Ejemplo Evaluador</t>
        </is>
      </c>
      <c r="E3" s="29" t="inlineStr">
        <is>
          <t>evaluador@ejemplo.eu</t>
        </is>
      </c>
      <c r="F3" s="29" t="inlineStr">
        <is>
          <t>Centro FP Industrial / Empresa</t>
        </is>
      </c>
      <c r="G3" s="28" t="inlineStr">
        <is>
          <t>ES</t>
        </is>
      </c>
      <c r="H3" s="29" t="inlineStr">
        <is>
          <t>vet_trainer</t>
        </is>
      </c>
      <c r="I3" s="29" t="inlineStr"/>
      <c r="J3" s="28" t="inlineStr">
        <is>
          <t>11-20</t>
        </is>
      </c>
      <c r="K3" s="28" t="inlineStr">
        <is>
          <t>moderate</t>
        </is>
      </c>
      <c r="L3" s="28" t="n">
        <v>5</v>
      </c>
      <c r="M3" s="28" t="n">
        <v>4</v>
      </c>
      <c r="N3" s="28" t="n">
        <v>5</v>
      </c>
      <c r="O3" s="28" t="n">
        <v>4</v>
      </c>
      <c r="P3" s="28" t="n">
        <v>5</v>
      </c>
      <c r="Q3" s="28" t="n">
        <v>4</v>
      </c>
      <c r="R3" s="28" t="n">
        <v>5</v>
      </c>
      <c r="S3" s="28" t="n">
        <v>4</v>
      </c>
      <c r="T3" s="28" t="n">
        <v>5</v>
      </c>
      <c r="U3" s="28" t="n">
        <v>5</v>
      </c>
      <c r="V3" s="28" t="n">
        <v>4</v>
      </c>
      <c r="W3" s="28" t="n">
        <v>4</v>
      </c>
      <c r="X3" s="28" t="n">
        <v>5</v>
      </c>
      <c r="Y3" s="28" t="n">
        <v>5</v>
      </c>
      <c r="Z3" s="28" t="n">
        <v>4</v>
      </c>
      <c r="AA3" s="28" t="n">
        <v>5</v>
      </c>
      <c r="AB3" s="28" t="n">
        <v>4</v>
      </c>
      <c r="AC3" s="28" t="n">
        <v>5</v>
      </c>
      <c r="AD3" s="28" t="n">
        <v>4</v>
      </c>
      <c r="AE3" s="28" t="n">
        <v>4</v>
      </c>
      <c r="AF3" s="28" t="n">
        <v>5</v>
      </c>
      <c r="AG3" s="28" t="n">
        <v>4</v>
      </c>
      <c r="AH3" s="28" t="n">
        <v>5</v>
      </c>
      <c r="AI3" s="28" t="n">
        <v>4</v>
      </c>
      <c r="AJ3" s="28" t="n">
        <v>5</v>
      </c>
      <c r="AK3" s="28" t="n">
        <v>5</v>
      </c>
      <c r="AL3" s="30">
        <f>AVERAGE(L3:O3)</f>
        <v/>
      </c>
      <c r="AM3" s="30">
        <f>AVERAGE(P3:S3)</f>
        <v/>
      </c>
      <c r="AN3" s="30">
        <f>AVERAGE(T3:X3)</f>
        <v/>
      </c>
      <c r="AO3" s="30">
        <f>AVERAGE(Y3:AB3)</f>
        <v/>
      </c>
      <c r="AP3" s="30">
        <f>AVERAGE(AC3:AF3)</f>
        <v/>
      </c>
      <c r="AQ3" s="30">
        <f>AVERAGE(AG3:AK3)</f>
        <v/>
      </c>
      <c r="AR3" s="30">
        <f>AVERAGE(L3:AK3)</f>
        <v/>
      </c>
      <c r="AS3" s="31" t="inlineStr">
        <is>
          <t>Excelente estructuración de las 6 unidades formativas y gran aplicabilidad en PYMEs.</t>
        </is>
      </c>
      <c r="AT3" s="31" t="inlineStr">
        <is>
          <t>Reforzar con ejemplos concretos de prompts en el módulo de herramientas industriales.</t>
        </is>
      </c>
      <c r="AU3" s="31" t="inlineStr">
        <is>
          <t>Ninguno en particular, el itinerario es muy completo.</t>
        </is>
      </c>
    </row>
  </sheetData>
  <autoFilter ref="A2:AU3"/>
  <mergeCells count="9">
    <mergeCell ref="P1:S1"/>
    <mergeCell ref="AS1:AU1"/>
    <mergeCell ref="AC1:AF1"/>
    <mergeCell ref="AG1:AK1"/>
    <mergeCell ref="T1:X1"/>
    <mergeCell ref="L1:O1"/>
    <mergeCell ref="A1:K1"/>
    <mergeCell ref="Y1:AB1"/>
    <mergeCell ref="AL1:A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45" customWidth="1" min="3" max="3"/>
    <col width="45" customWidth="1" min="4" max="4"/>
    <col width="18" customWidth="1" min="5" max="5"/>
  </cols>
  <sheetData>
    <row r="1" ht="32" customHeight="1">
      <c r="A1" s="32" t="inlineStr">
        <is>
          <t>LEARNING BRAINS (ERASMUS+) - CODEBOOK Y DICCIONARIO DE VARIABLES</t>
        </is>
      </c>
    </row>
    <row r="3" ht="24" customHeight="1">
      <c r="A3" s="33" t="inlineStr">
        <is>
          <t>Código</t>
        </is>
      </c>
      <c r="B3" s="34" t="inlineStr">
        <is>
          <t>Sección</t>
        </is>
      </c>
      <c r="C3" s="34" t="inlineStr">
        <is>
          <t>Pregunta en Inglés (Original)</t>
        </is>
      </c>
      <c r="D3" s="34" t="inlineStr">
        <is>
          <t>Pregunta en Español</t>
        </is>
      </c>
      <c r="E3" s="33" t="inlineStr">
        <is>
          <t>Escala / Tipo</t>
        </is>
      </c>
    </row>
    <row r="4">
      <c r="A4" s="28" t="inlineStr">
        <is>
          <t>P1</t>
        </is>
      </c>
      <c r="B4" s="29" t="inlineStr">
        <is>
          <t>Sección 2: Objeto y pertinencia</t>
        </is>
      </c>
      <c r="C4" s="29" t="inlineStr">
        <is>
          <t>The itinerary addresses relevant needs related to on-the-job training in industrial companies.</t>
        </is>
      </c>
      <c r="D4" s="29" t="inlineStr">
        <is>
          <t>El itinerario responde a necesidades relevantes relacionadas con el aprendizaje en el puesto de trabajo en empresas industriales.</t>
        </is>
      </c>
      <c r="E4" s="28" t="inlineStr">
        <is>
          <t>Likert (1-5)</t>
        </is>
      </c>
    </row>
    <row r="5">
      <c r="A5" s="28" t="inlineStr">
        <is>
          <t>P2</t>
        </is>
      </c>
      <c r="B5" s="29" t="inlineStr">
        <is>
          <t>Sección 2: Objeto y pertinencia</t>
        </is>
      </c>
      <c r="C5" s="29" t="inlineStr">
        <is>
          <t>The overall aims of the itinerary are clear.</t>
        </is>
      </c>
      <c r="D5" s="29" t="inlineStr">
        <is>
          <t>Los objetivos generales del itinerario son claros.</t>
        </is>
      </c>
      <c r="E5" s="28" t="inlineStr">
        <is>
          <t>Likert (1-5)</t>
        </is>
      </c>
    </row>
    <row r="6">
      <c r="A6" s="28" t="inlineStr">
        <is>
          <t>P3</t>
        </is>
      </c>
      <c r="B6" s="29" t="inlineStr">
        <is>
          <t>Sección 2: Objeto y pertinencia</t>
        </is>
      </c>
      <c r="C6" s="29" t="inlineStr">
        <is>
          <t>The intended target groups are clearly identified.</t>
        </is>
      </c>
      <c r="D6" s="29" t="inlineStr">
        <is>
          <t>Los grupos destinatarios previstos están claramente identificados.</t>
        </is>
      </c>
      <c r="E6" s="28" t="inlineStr">
        <is>
          <t>Likert (1-5)</t>
        </is>
      </c>
    </row>
    <row r="7">
      <c r="A7" s="28" t="inlineStr">
        <is>
          <t>P4</t>
        </is>
      </c>
      <c r="B7" s="29" t="inlineStr">
        <is>
          <t>Sección 2: Objeto y pertinencia</t>
        </is>
      </c>
      <c r="C7" s="29" t="inlineStr">
        <is>
          <t>The itinerary is relevant to HR and training managers and identified target groups.</t>
        </is>
      </c>
      <c r="D7" s="29" t="inlineStr">
        <is>
          <t>El itinerario es relevante para los responsables de RRHH, formadores y los grupos destinatarios identificados.</t>
        </is>
      </c>
      <c r="E7" s="28" t="inlineStr">
        <is>
          <t>Likert (1-5)</t>
        </is>
      </c>
    </row>
    <row r="8">
      <c r="A8" s="28" t="inlineStr">
        <is>
          <t>S1</t>
        </is>
      </c>
      <c r="B8" s="29" t="inlineStr">
        <is>
          <t>Sección 3: Estructura y coherencia</t>
        </is>
      </c>
      <c r="C8" s="29" t="inlineStr">
        <is>
          <t>The document is clearly structured and easy to navigate.</t>
        </is>
      </c>
      <c r="D8" s="29" t="inlineStr">
        <is>
          <t>El documento está claramente estructurado y es fácil de navegar y consultar.</t>
        </is>
      </c>
      <c r="E8" s="28" t="inlineStr">
        <is>
          <t>Likert (1-5)</t>
        </is>
      </c>
    </row>
    <row r="9">
      <c r="A9" s="28" t="inlineStr">
        <is>
          <t>S2</t>
        </is>
      </c>
      <c r="B9" s="29" t="inlineStr">
        <is>
          <t>Sección 3: Estructura y coherencia</t>
        </is>
      </c>
      <c r="C9" s="29" t="inlineStr">
        <is>
          <t>The division of the document into four parts is useful and logical.</t>
        </is>
      </c>
      <c r="D9" s="29" t="inlineStr">
        <is>
          <t>La división del documento en cuatro partes es útil y lógica.</t>
        </is>
      </c>
      <c r="E9" s="28" t="inlineStr">
        <is>
          <t>Likert (1-5)</t>
        </is>
      </c>
    </row>
    <row r="10">
      <c r="A10" s="28" t="inlineStr">
        <is>
          <t>S3</t>
        </is>
      </c>
      <c r="B10" s="29" t="inlineStr">
        <is>
          <t>Sección 3: Estructura y coherencia</t>
        </is>
      </c>
      <c r="C10" s="29" t="inlineStr">
        <is>
          <t>The relationship between the framework, the learning units, the guidance for trainers and the European reference frameworks is clear.</t>
        </is>
      </c>
      <c r="D10" s="29" t="inlineStr">
        <is>
          <t>La relación entre el marco, las unidades de aprendizaje, la guía para formadores y los marcos de referencia europeos es clara.</t>
        </is>
      </c>
      <c r="E10" s="28" t="inlineStr">
        <is>
          <t>Likert (1-5)</t>
        </is>
      </c>
    </row>
    <row r="11">
      <c r="A11" s="28" t="inlineStr">
        <is>
          <t>S4</t>
        </is>
      </c>
      <c r="B11" s="29" t="inlineStr">
        <is>
          <t>Sección 3: Estructura y coherencia</t>
        </is>
      </c>
      <c r="C11" s="29" t="inlineStr">
        <is>
          <t>The progression between the learning units is coherent.</t>
        </is>
      </c>
      <c r="D11" s="29" t="inlineStr">
        <is>
          <t>La progresión entre las unidades de aprendizaje es coherente.</t>
        </is>
      </c>
      <c r="E11" s="28" t="inlineStr">
        <is>
          <t>Likert (1-5)</t>
        </is>
      </c>
    </row>
    <row r="12">
      <c r="A12" s="28" t="inlineStr">
        <is>
          <t>U1</t>
        </is>
      </c>
      <c r="B12" s="29" t="inlineStr">
        <is>
          <t>Sección 4: Unidades de aprendizaje</t>
        </is>
      </c>
      <c r="C12" s="29" t="inlineStr">
        <is>
          <t>The six learning units collectively cover the main competences needed to use AI in on-the-job training.</t>
        </is>
      </c>
      <c r="D12" s="29" t="inlineStr">
        <is>
          <t>Las seis unidades de aprendizaje cubren en conjunto las principales competencias necesarias para utilizar la IA en la formación en el puesto de trabajo.</t>
        </is>
      </c>
      <c r="E12" s="28" t="inlineStr">
        <is>
          <t>Likert (1-5)</t>
        </is>
      </c>
    </row>
    <row r="13">
      <c r="A13" s="28" t="inlineStr">
        <is>
          <t>U2</t>
        </is>
      </c>
      <c r="B13" s="29" t="inlineStr">
        <is>
          <t>Sección 4: Unidades de aprendizaje</t>
        </is>
      </c>
      <c r="C13" s="29" t="inlineStr">
        <is>
          <t>The descriptions of the core focus of each unit are clear.</t>
        </is>
      </c>
      <c r="D13" s="29" t="inlineStr">
        <is>
          <t>Las descripciones del enfoque central de cada unidad formativa son claras.</t>
        </is>
      </c>
      <c r="E13" s="28" t="inlineStr">
        <is>
          <t>Likert (1-5)</t>
        </is>
      </c>
    </row>
    <row r="14">
      <c r="A14" s="28" t="inlineStr">
        <is>
          <t>U3</t>
        </is>
      </c>
      <c r="B14" s="29" t="inlineStr">
        <is>
          <t>Sección 4: Unidades de aprendizaje</t>
        </is>
      </c>
      <c r="C14" s="29" t="inlineStr">
        <is>
          <t>The main learning outcomes are realistic and appropriate.</t>
        </is>
      </c>
      <c r="D14" s="29" t="inlineStr">
        <is>
          <t>Los principales resultados de aprendizaje previstos son realistas y adecuados.</t>
        </is>
      </c>
      <c r="E14" s="28" t="inlineStr">
        <is>
          <t>Likert (1-5)</t>
        </is>
      </c>
    </row>
    <row r="15">
      <c r="A15" s="28" t="inlineStr">
        <is>
          <t>U4</t>
        </is>
      </c>
      <c r="B15" s="29" t="inlineStr">
        <is>
          <t>Sección 4: Unidades de aprendizaje</t>
        </is>
      </c>
      <c r="C15" s="29" t="inlineStr">
        <is>
          <t>The balance between conceptual understanding and practical application is appropriate.</t>
        </is>
      </c>
      <c r="D15" s="29" t="inlineStr">
        <is>
          <t>El equilibrio entre la comprensión conceptual y la aplicación práctica es el adecuado.</t>
        </is>
      </c>
      <c r="E15" s="28" t="inlineStr">
        <is>
          <t>Likert (1-5)</t>
        </is>
      </c>
    </row>
    <row r="16">
      <c r="A16" s="28" t="inlineStr">
        <is>
          <t>U5</t>
        </is>
      </c>
      <c r="B16" s="29" t="inlineStr">
        <is>
          <t>Sección 4: Unidades de aprendizaje</t>
        </is>
      </c>
      <c r="C16" s="29" t="inlineStr">
        <is>
          <t>The learning units are sufficiently adaptable to different learner profiles and company contexts.</t>
        </is>
      </c>
      <c r="D16" s="29" t="inlineStr">
        <is>
          <t>Las unidades de aprendizaje son suficientemente adaptables a distintos perfiles de alumnado y contextos de empresa.</t>
        </is>
      </c>
      <c r="E16" s="28" t="inlineStr">
        <is>
          <t>Likert (1-5)</t>
        </is>
      </c>
    </row>
    <row r="17">
      <c r="A17" s="28" t="inlineStr">
        <is>
          <t>E1</t>
        </is>
      </c>
      <c r="B17" s="29" t="inlineStr">
        <is>
          <t>Sección 5: Principios éticos y legales</t>
        </is>
      </c>
      <c r="C17" s="29" t="inlineStr">
        <is>
          <t>Ethical and legal aspects are sufficiently integrated into the itinerary.</t>
        </is>
      </c>
      <c r="D17" s="29" t="inlineStr">
        <is>
          <t>Los aspectos éticos y legales están suficientemente integrados en el itinerario.</t>
        </is>
      </c>
      <c r="E17" s="28" t="inlineStr">
        <is>
          <t>Likert (1-5)</t>
        </is>
      </c>
    </row>
    <row r="18">
      <c r="A18" s="28" t="inlineStr">
        <is>
          <t>E2</t>
        </is>
      </c>
      <c r="B18" s="29" t="inlineStr">
        <is>
          <t>Sección 5: Principios éticos y legales</t>
        </is>
      </c>
      <c r="C18" s="29" t="inlineStr">
        <is>
          <t>The treatment of ethical and legal issues is appropriate for the target groups.</t>
        </is>
      </c>
      <c r="D18" s="29" t="inlineStr">
        <is>
          <t>El tratamiento de las cuestiones éticas y legales es adecuado para los grupos destinatarios.</t>
        </is>
      </c>
      <c r="E18" s="28" t="inlineStr">
        <is>
          <t>Likert (1-5)</t>
        </is>
      </c>
    </row>
    <row r="19">
      <c r="A19" s="28" t="inlineStr">
        <is>
          <t>E3</t>
        </is>
      </c>
      <c r="B19" s="29" t="inlineStr">
        <is>
          <t>Sección 5: Principios éticos y legales</t>
        </is>
      </c>
      <c r="C19" s="29" t="inlineStr">
        <is>
          <t>The ethical dimension is connected meaningfully with tool selection, training design and implementation.</t>
        </is>
      </c>
      <c r="D19" s="29" t="inlineStr">
        <is>
          <t>La dimensión ética se conecta de forma significativa con la selección de herramientas, el diseño formativo y su ejecución.</t>
        </is>
      </c>
      <c r="E19" s="28" t="inlineStr">
        <is>
          <t>Likert (1-5)</t>
        </is>
      </c>
    </row>
    <row r="20">
      <c r="A20" s="28" t="inlineStr">
        <is>
          <t>E4</t>
        </is>
      </c>
      <c r="B20" s="29" t="inlineStr">
        <is>
          <t>Sección 5: Principios éticos y legales</t>
        </is>
      </c>
      <c r="C20" s="29" t="inlineStr">
        <is>
          <t>The itinerary gives appropriate attention to fairness, accessibility and inclusion.</t>
        </is>
      </c>
      <c r="D20" s="29" t="inlineStr">
        <is>
          <t>El itinerario presta la debida atención a la equidad, la accesibilidad y la inclusión.</t>
        </is>
      </c>
      <c r="E20" s="28" t="inlineStr">
        <is>
          <t>Likert (1-5)</t>
        </is>
      </c>
    </row>
    <row r="21">
      <c r="A21" s="28" t="inlineStr">
        <is>
          <t>C1</t>
        </is>
      </c>
      <c r="B21" s="29" t="inlineStr">
        <is>
          <t>Sección 6: Marco de competencias</t>
        </is>
      </c>
      <c r="C21" s="29" t="inlineStr">
        <is>
          <t>The Knowledge, Skills and Attitudes structure is appropriate for the itinerary.</t>
        </is>
      </c>
      <c r="D21" s="29" t="inlineStr">
        <is>
          <t>La estructura de Conocimientos, Habilidades y Actitudes (KSA) es adecuada para el itinerario.</t>
        </is>
      </c>
      <c r="E21" s="28" t="inlineStr">
        <is>
          <t>Likert (1-5)</t>
        </is>
      </c>
    </row>
    <row r="22">
      <c r="A22" s="28" t="inlineStr">
        <is>
          <t>C2</t>
        </is>
      </c>
      <c r="B22" s="29" t="inlineStr">
        <is>
          <t>Sección 6: Marco de competencias</t>
        </is>
      </c>
      <c r="C22" s="29" t="inlineStr">
        <is>
          <t>The competence framework is aligned with the learning units.</t>
        </is>
      </c>
      <c r="D22" s="29" t="inlineStr">
        <is>
          <t>El marco de competencias está debidamente alineado con las unidades de aprendizaje.</t>
        </is>
      </c>
      <c r="E22" s="28" t="inlineStr">
        <is>
          <t>Likert (1-5)</t>
        </is>
      </c>
    </row>
    <row r="23">
      <c r="A23" s="28" t="inlineStr">
        <is>
          <t>C3</t>
        </is>
      </c>
      <c r="B23" s="29" t="inlineStr">
        <is>
          <t>Sección 6: Marco de competencias</t>
        </is>
      </c>
      <c r="C23" s="29" t="inlineStr">
        <is>
          <t>The attitudes identified are appropriate for responsible and practical use of AI.</t>
        </is>
      </c>
      <c r="D23" s="29" t="inlineStr">
        <is>
          <t>Las actitudes identificadas son adecuadas para un uso responsable y práctico de la IA.</t>
        </is>
      </c>
      <c r="E23" s="28" t="inlineStr">
        <is>
          <t>Likert (1-5)</t>
        </is>
      </c>
    </row>
    <row r="24">
      <c r="A24" s="28" t="inlineStr">
        <is>
          <t>C4</t>
        </is>
      </c>
      <c r="B24" s="29" t="inlineStr">
        <is>
          <t>Sección 6: Marco de competencias</t>
        </is>
      </c>
      <c r="C24" s="29" t="inlineStr">
        <is>
          <t>The competence framework can support the subsequent development of learning content and activities.</t>
        </is>
      </c>
      <c r="D24" s="29" t="inlineStr">
        <is>
          <t>El marco de competencias puede sustentar con éxito el posterior desarrollo de contenidos y actividades formativas.</t>
        </is>
      </c>
      <c r="E24" s="28" t="inlineStr">
        <is>
          <t>Likert (1-5)</t>
        </is>
      </c>
    </row>
    <row r="25">
      <c r="A25" s="28" t="inlineStr">
        <is>
          <t>T1</t>
        </is>
      </c>
      <c r="B25" s="29" t="inlineStr">
        <is>
          <t>Sección 7: Uso práctico y transferencia</t>
        </is>
      </c>
      <c r="C25" s="29" t="inlineStr">
        <is>
          <t>The itinerary provides useful guidance for developing a complete Training Programme.</t>
        </is>
      </c>
      <c r="D25" s="29" t="inlineStr">
        <is>
          <t>El itinerario proporciona directrices útiles para el desarrollo de un Programa Formativo integral.</t>
        </is>
      </c>
      <c r="E25" s="28" t="inlineStr">
        <is>
          <t>Likert (1-5)</t>
        </is>
      </c>
    </row>
    <row r="26">
      <c r="A26" s="28" t="inlineStr">
        <is>
          <t>T2</t>
        </is>
      </c>
      <c r="B26" s="29" t="inlineStr">
        <is>
          <t>Sección 7: Uso práctico y transferencia</t>
        </is>
      </c>
      <c r="C26" s="29" t="inlineStr">
        <is>
          <t>The practical guidance for trainers is useful.</t>
        </is>
      </c>
      <c r="D26" s="29" t="inlineStr">
        <is>
          <t>Las orientaciones prácticas para formadores son de gran utilidad.</t>
        </is>
      </c>
      <c r="E26" s="28" t="inlineStr">
        <is>
          <t>Likert (1-5)</t>
        </is>
      </c>
    </row>
    <row r="27">
      <c r="A27" s="28" t="inlineStr">
        <is>
          <t>T3</t>
        </is>
      </c>
      <c r="B27" s="29" t="inlineStr">
        <is>
          <t>Sección 7: Uso práctico y transferencia</t>
        </is>
      </c>
      <c r="C27" s="29" t="inlineStr">
        <is>
          <t>The adaptation roadmap can help external trainers adapt the itinerary to different learner groups.</t>
        </is>
      </c>
      <c r="D27" s="29" t="inlineStr">
        <is>
          <t>La hoja de ruta de adaptación puede ayudar a formadores externos a adaptar el itinerario a diversos grupos de participantes.</t>
        </is>
      </c>
      <c r="E27" s="28" t="inlineStr">
        <is>
          <t>Likert (1-5)</t>
        </is>
      </c>
    </row>
    <row r="28">
      <c r="A28" s="28" t="inlineStr">
        <is>
          <t>T4</t>
        </is>
      </c>
      <c r="B28" s="29" t="inlineStr">
        <is>
          <t>Sección 7: Uso práctico y transferencia</t>
        </is>
      </c>
      <c r="C28" s="29" t="inlineStr">
        <is>
          <t>The itinerary is sufficiently clear to be used by trainers or organisations outside the consortium or beyond the project activities.</t>
        </is>
      </c>
      <c r="D28" s="29" t="inlineStr">
        <is>
          <t>El itinerario es suficientemente claro como para ser utilizado por formadores u organizaciones ajenas al consorcio o más allá de las actividades del proyecto.</t>
        </is>
      </c>
      <c r="E28" s="28" t="inlineStr">
        <is>
          <t>Likert (1-5)</t>
        </is>
      </c>
    </row>
    <row r="29">
      <c r="A29" s="28" t="inlineStr">
        <is>
          <t>T5</t>
        </is>
      </c>
      <c r="B29" s="29" t="inlineStr">
        <is>
          <t>Sección 7: Uso práctico y transferencia</t>
        </is>
      </c>
      <c r="C29" s="29" t="inlineStr">
        <is>
          <t>The document has potential to support the development of training actions in different European contexts.</t>
        </is>
      </c>
      <c r="D29" s="29" t="inlineStr">
        <is>
          <t>El documento tiene un alto potencial para respaldar el desarrollo de acciones formativas en diversos contextos europeos.</t>
        </is>
      </c>
      <c r="E29" s="28" t="inlineStr">
        <is>
          <t>Likert (1-5)</t>
        </is>
      </c>
    </row>
    <row r="30">
      <c r="A30" s="28" t="inlineStr">
        <is>
          <t>Q1_Strengths</t>
        </is>
      </c>
      <c r="B30" s="29" t="inlineStr">
        <is>
          <t>Sección 8: Cualitativa</t>
        </is>
      </c>
      <c r="C30" s="29" t="inlineStr">
        <is>
          <t>What do you consider to be the main strengths of the Learning Brains Training Itinerary?</t>
        </is>
      </c>
      <c r="D30" s="29" t="inlineStr">
        <is>
          <t>¿Cuáles consideras que son los principales puntos fuertes del Itinerario Formativo de Learning Brains?</t>
        </is>
      </c>
      <c r="E30" s="28" t="inlineStr">
        <is>
          <t>Texto Abierto</t>
        </is>
      </c>
    </row>
    <row r="31">
      <c r="A31" s="28" t="inlineStr">
        <is>
          <t>Q2_Improvements</t>
        </is>
      </c>
      <c r="B31" s="29" t="inlineStr">
        <is>
          <t>Sección 8: Cualitativa</t>
        </is>
      </c>
      <c r="C31" s="29" t="inlineStr">
        <is>
          <t>What aspects, if any, would you suggest revising or developing further?</t>
        </is>
      </c>
      <c r="D31" s="29" t="inlineStr">
        <is>
          <t>¿Qué aspectos, en su caso, sugerirías revisar o desarrollar más a fondo?</t>
        </is>
      </c>
      <c r="E31" s="28" t="inlineStr">
        <is>
          <t>Texto Abierto</t>
        </is>
      </c>
    </row>
    <row r="32">
      <c r="A32" s="28" t="inlineStr">
        <is>
          <t>Q3_Missing_Topics</t>
        </is>
      </c>
      <c r="B32" s="29" t="inlineStr">
        <is>
          <t>Sección 8: Cualitativa</t>
        </is>
      </c>
      <c r="C32" s="29" t="inlineStr">
        <is>
          <t>Do you think any relevant topic is missing from the Learning Brains Training Itinerary? If yes, please specify.</t>
        </is>
      </c>
      <c r="D32" s="29" t="inlineStr">
        <is>
          <t>¿Consideras que falta algún tema relevante en el Itinerario Formativo de Learning Brains? En caso afirmativo, indícalo por favor.</t>
        </is>
      </c>
      <c r="E32" s="28" t="inlineStr">
        <is>
          <t>Texto Abierto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30" customWidth="1" min="4" max="4"/>
  </cols>
  <sheetData>
    <row r="1" ht="30" customHeight="1">
      <c r="A1" s="35" t="inlineStr">
        <is>
          <t>LEARNING BRAINS - RESUMEN EJECUTIVO DE VALIDACIÓN (INDICADORES)</t>
        </is>
      </c>
    </row>
    <row r="3">
      <c r="A3" s="36" t="inlineStr">
        <is>
          <t>Dimensión Evaluada</t>
        </is>
      </c>
      <c r="B3" s="37" t="inlineStr">
        <is>
          <t>Métrica</t>
        </is>
      </c>
      <c r="C3" s="37" t="inlineStr">
        <is>
          <t>Rango</t>
        </is>
      </c>
      <c r="D3" s="37" t="inlineStr">
        <is>
          <t>Fórmula</t>
        </is>
      </c>
    </row>
    <row r="4">
      <c r="A4" s="29" t="inlineStr">
        <is>
          <t>Total de Evaluaciones Recibidas</t>
        </is>
      </c>
      <c r="B4" s="38">
        <f>COUNTA(Respuestas_Itinerario!A3:A500)</f>
        <v/>
      </c>
      <c r="C4" s="39" t="inlineStr">
        <is>
          <t>Nº respuestas</t>
        </is>
      </c>
      <c r="D4" s="40" t="inlineStr">
        <is>
          <t>Recuento</t>
        </is>
      </c>
    </row>
    <row r="5">
      <c r="A5" s="29" t="inlineStr">
        <is>
          <t>Media Sección 2: Objeto y Pertinencia</t>
        </is>
      </c>
      <c r="B5" s="41">
        <f>AVERAGE(Respuestas_Itinerario!AL3:AL500)</f>
        <v/>
      </c>
      <c r="C5" s="39" t="inlineStr">
        <is>
          <t>1 - 5</t>
        </is>
      </c>
      <c r="D5" s="40" t="inlineStr">
        <is>
          <t>Promedio P1-P4</t>
        </is>
      </c>
    </row>
    <row r="6">
      <c r="A6" s="29" t="inlineStr">
        <is>
          <t>Media Sección 3: Estructura y Coherencia</t>
        </is>
      </c>
      <c r="B6" s="41">
        <f>AVERAGE(Respuestas_Itinerario!AM3:AM500)</f>
        <v/>
      </c>
      <c r="C6" s="39" t="inlineStr">
        <is>
          <t>1 - 5</t>
        </is>
      </c>
      <c r="D6" s="40" t="inlineStr">
        <is>
          <t>Promedio S1-S4</t>
        </is>
      </c>
    </row>
    <row r="7">
      <c r="A7" s="29" t="inlineStr">
        <is>
          <t>Media Sección 4: Unidades de Aprendizaje</t>
        </is>
      </c>
      <c r="B7" s="41">
        <f>AVERAGE(Respuestas_Itinerario!AN3:AN500)</f>
        <v/>
      </c>
      <c r="C7" s="39" t="inlineStr">
        <is>
          <t>1 - 5</t>
        </is>
      </c>
      <c r="D7" s="40" t="inlineStr">
        <is>
          <t>Promedio U1-U5</t>
        </is>
      </c>
    </row>
    <row r="8">
      <c r="A8" s="29" t="inlineStr">
        <is>
          <t>Media Sección 5: Principios Éticos y Legales</t>
        </is>
      </c>
      <c r="B8" s="41">
        <f>AVERAGE(Respuestas_Itinerario!AO3:AO500)</f>
        <v/>
      </c>
      <c r="C8" s="39" t="inlineStr">
        <is>
          <t>1 - 5</t>
        </is>
      </c>
      <c r="D8" s="40" t="inlineStr">
        <is>
          <t>Promedio E1-E4</t>
        </is>
      </c>
    </row>
    <row r="9">
      <c r="A9" s="29" t="inlineStr">
        <is>
          <t>Media Sección 6: Marco de Competencias</t>
        </is>
      </c>
      <c r="B9" s="41">
        <f>AVERAGE(Respuestas_Itinerario!AP3:AP500)</f>
        <v/>
      </c>
      <c r="C9" s="39" t="inlineStr">
        <is>
          <t>1 - 5</t>
        </is>
      </c>
      <c r="D9" s="40" t="inlineStr">
        <is>
          <t>Promedio C1-C4</t>
        </is>
      </c>
    </row>
    <row r="10">
      <c r="A10" s="29" t="inlineStr">
        <is>
          <t>Media Sección 7: Uso Práctico y Transferencia</t>
        </is>
      </c>
      <c r="B10" s="41">
        <f>AVERAGE(Respuestas_Itinerario!AQ3:AQ500)</f>
        <v/>
      </c>
      <c r="C10" s="39" t="inlineStr">
        <is>
          <t>1 - 5</t>
        </is>
      </c>
      <c r="D10" s="40" t="inlineStr">
        <is>
          <t>Promedio T1-T5</t>
        </is>
      </c>
    </row>
    <row r="11">
      <c r="A11" s="42" t="inlineStr">
        <is>
          <t>MEDIA GLOBAL DEL ITINERARIO FORMATIVO</t>
        </is>
      </c>
      <c r="B11" s="43">
        <f>AVERAGE(Respuestas_Itinerario!AR3:AR500)</f>
        <v/>
      </c>
      <c r="C11" s="44" t="inlineStr">
        <is>
          <t>1 - 5</t>
        </is>
      </c>
      <c r="D11" s="45" t="inlineStr">
        <is>
          <t>Promedio Global (26 ítems)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2026-09-22T13:29:44Z</dcterms:created>
  <dcterms:modified xmlns:dcterms="http://purl.org/dc/terms/" xmlns:xsi="http://www.w3.org/2001/XMLSchema-instance" xsi:type="dcterms:W3CDTF">2026-09-22T13:29:44Z</dcterms:modified>
</cp:coreProperties>
</file>