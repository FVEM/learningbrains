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sponses" sheetId="1" state="visible" r:id="rId1"/>
    <sheet xmlns:r="http://schemas.openxmlformats.org/officeDocument/2006/relationships" name="Codebook_Questions" sheetId="2" state="visible" r:id="rId2"/>
    <sheet xmlns:r="http://schemas.openxmlformats.org/officeDocument/2006/relationships" name="KPI_Dashboard" sheetId="3" state="visible" r:id="rId3"/>
  </sheets>
  <definedNames>
    <definedName name="_xlnm._FilterDatabase" localSheetId="0" hidden="1">'Validation_Responses'!$A$2:$AU$3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sz val="11"/>
    </font>
    <font>
      <name val="Calibri"/>
      <b val="1"/>
      <color rgb="0092400E"/>
      <sz val="10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4F46E5"/>
        <bgColor rgb="004F46E5"/>
      </patternFill>
    </fill>
    <fill>
      <patternFill patternType="solid">
        <fgColor rgb="000284C7"/>
        <bgColor rgb="000284C7"/>
      </patternFill>
    </fill>
    <fill>
      <patternFill patternType="solid">
        <fgColor rgb="007C3AED"/>
        <bgColor rgb="007C3AED"/>
      </patternFill>
    </fill>
    <fill>
      <patternFill patternType="solid">
        <fgColor rgb="000D9488"/>
        <bgColor rgb="000D9488"/>
      </patternFill>
    </fill>
    <fill>
      <patternFill patternType="solid">
        <fgColor rgb="00059669"/>
        <bgColor rgb="00059669"/>
      </patternFill>
    </fill>
    <fill>
      <patternFill patternType="solid">
        <fgColor rgb="00D97706"/>
        <bgColor rgb="00D97706"/>
      </patternFill>
    </fill>
    <fill>
      <patternFill patternType="solid">
        <fgColor rgb="00475569"/>
        <bgColor rgb="0047556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3" fillId="11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6" fillId="0" borderId="0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2" fontId="3" fillId="0" borderId="1" applyAlignment="1" pivotButton="0" quotePrefix="0" xfId="0">
      <alignment horizontal="center"/>
    </xf>
    <xf numFmtId="0" fontId="7" fillId="11" borderId="1" pivotButton="0" quotePrefix="0" xfId="0"/>
    <xf numFmtId="2" fontId="7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24" customWidth="1" min="4" max="4"/>
    <col width="26" customWidth="1" min="5" max="5"/>
    <col width="28" customWidth="1" min="6" max="6"/>
    <col width="12" customWidth="1" min="7" max="7"/>
    <col width="24" customWidth="1" min="8" max="8"/>
    <col width="22" customWidth="1" min="9" max="9"/>
    <col width="18" customWidth="1" min="10" max="10"/>
    <col width="1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6" customWidth="1" min="44" max="44"/>
    <col width="42" customWidth="1" min="45" max="45"/>
    <col width="42" customWidth="1" min="46" max="46"/>
    <col width="42" customWidth="1" min="47" max="47"/>
  </cols>
  <sheetData>
    <row r="1" ht="28" customHeight="1">
      <c r="A1" s="1" t="inlineStr">
        <is>
          <t>1. METADATA &amp; EVALUATOR PROFILE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2. PURPOSE &amp; RELEVANCE (P1-P4)</t>
        </is>
      </c>
      <c r="M1" s="4" t="n"/>
      <c r="N1" s="4" t="n"/>
      <c r="O1" s="4" t="n"/>
      <c r="P1" s="5" t="inlineStr">
        <is>
          <t>3. STRUCTURE &amp; COHERENCE (S1-S4)</t>
        </is>
      </c>
      <c r="Q1" s="6" t="n"/>
      <c r="R1" s="6" t="n"/>
      <c r="S1" s="6" t="n"/>
      <c r="T1" s="7" t="inlineStr">
        <is>
          <t>4. LEARNING UNITS (U1-U5)</t>
        </is>
      </c>
      <c r="U1" s="8" t="n"/>
      <c r="V1" s="8" t="n"/>
      <c r="W1" s="8" t="n"/>
      <c r="X1" s="8" t="n"/>
      <c r="Y1" s="9" t="inlineStr">
        <is>
          <t>5. ETHICAL &amp; LEGAL PRINCIPLES (E1-E4)</t>
        </is>
      </c>
      <c r="Z1" s="10" t="n"/>
      <c r="AA1" s="10" t="n"/>
      <c r="AB1" s="10" t="n"/>
      <c r="AC1" s="11" t="inlineStr">
        <is>
          <t>6. COMPETENCE FRAMEWORK (C1-C4)</t>
        </is>
      </c>
      <c r="AD1" s="12" t="n"/>
      <c r="AE1" s="12" t="n"/>
      <c r="AF1" s="12" t="n"/>
      <c r="AG1" s="13" t="inlineStr">
        <is>
          <t>7. PRACTICAL USE &amp; TRANSFERABILITY (T1-T5)</t>
        </is>
      </c>
      <c r="AH1" s="14" t="n"/>
      <c r="AI1" s="14" t="n"/>
      <c r="AJ1" s="14" t="n"/>
      <c r="AK1" s="14" t="n"/>
      <c r="AL1" s="15" t="inlineStr">
        <is>
          <t>CALCULATED SECTION AVERAGES (1-5)</t>
        </is>
      </c>
      <c r="AM1" s="16" t="n"/>
      <c r="AN1" s="16" t="n"/>
      <c r="AO1" s="16" t="n"/>
      <c r="AP1" s="16" t="n"/>
      <c r="AQ1" s="16" t="n"/>
      <c r="AR1" s="16" t="n"/>
      <c r="AS1" s="17" t="inlineStr">
        <is>
          <t>8. QUALITATIVE FEEDBACK (OPEN COMMENTS)</t>
        </is>
      </c>
      <c r="AT1" s="18" t="n"/>
      <c r="AU1" s="18" t="n"/>
    </row>
    <row r="2" ht="36" customHeight="1">
      <c r="A2" s="19" t="inlineStr">
        <is>
          <t>Timestamp
(Submission Date (UTC))</t>
        </is>
      </c>
      <c r="B2" s="19" t="inlineStr">
        <is>
          <t>Campaign
(Campaign ID)</t>
        </is>
      </c>
      <c r="C2" s="19" t="inlineStr">
        <is>
          <t>Language
(Form Language)</t>
        </is>
      </c>
      <c r="D2" s="19" t="inlineStr">
        <is>
          <t>Full_Name
(Evaluator Name)</t>
        </is>
      </c>
      <c r="E2" s="19" t="inlineStr">
        <is>
          <t>Email
(Evaluator Email)</t>
        </is>
      </c>
      <c r="F2" s="19" t="inlineStr">
        <is>
          <t>Organization
(Organization / Company)</t>
        </is>
      </c>
      <c r="G2" s="19" t="inlineStr">
        <is>
          <t>Country
(Country Code)</t>
        </is>
      </c>
      <c r="H2" s="19" t="inlineStr">
        <is>
          <t>Professional_Background
(Professional Profile)</t>
        </is>
      </c>
      <c r="I2" s="19" t="inlineStr">
        <is>
          <t>Other_Background_Detail
(Other Profile Details)</t>
        </is>
      </c>
      <c r="J2" s="19" t="inlineStr">
        <is>
          <t>Experience_Years
(Years of Experience)</t>
        </is>
      </c>
      <c r="K2" s="19" t="inlineStr">
        <is>
          <t>AI_Experience_Level
(AI Experience Level)</t>
        </is>
      </c>
      <c r="L2" s="20" t="inlineStr">
        <is>
          <t>P1
(P1: On-the-job training needs)</t>
        </is>
      </c>
      <c r="M2" s="20" t="inlineStr">
        <is>
          <t>P2
(P2: Clear overall aims)</t>
        </is>
      </c>
      <c r="N2" s="20" t="inlineStr">
        <is>
          <t>P3
(P3: Clear target groups)</t>
        </is>
      </c>
      <c r="O2" s="20" t="inlineStr">
        <is>
          <t>P4
(P4: Relevance to HR &amp; trainers)</t>
        </is>
      </c>
      <c r="P2" s="21" t="inlineStr">
        <is>
          <t>S1
(S1: Clear structure &amp; navigation)</t>
        </is>
      </c>
      <c r="Q2" s="21" t="inlineStr">
        <is>
          <t>S2
(S2: 4-part division is logical)</t>
        </is>
      </c>
      <c r="R2" s="21" t="inlineStr">
        <is>
          <t>S3
(S3: EU frameworks alignment)</t>
        </is>
      </c>
      <c r="S2" s="21" t="inlineStr">
        <is>
          <t>S4
(S4: Coherent unit progression)</t>
        </is>
      </c>
      <c r="T2" s="22" t="inlineStr">
        <is>
          <t>U1
(U1: AI core competences)</t>
        </is>
      </c>
      <c r="U2" s="22" t="inlineStr">
        <is>
          <t>U2
(U2: Clear unit core focus)</t>
        </is>
      </c>
      <c r="V2" s="22" t="inlineStr">
        <is>
          <t>U3
(U3: Realistic learning outcomes)</t>
        </is>
      </c>
      <c r="W2" s="22" t="inlineStr">
        <is>
          <t>U4
(U4: Concept/practice balance)</t>
        </is>
      </c>
      <c r="X2" s="22" t="inlineStr">
        <is>
          <t>U5
(U5: Target &amp; company adaptability)</t>
        </is>
      </c>
      <c r="Y2" s="23" t="inlineStr">
        <is>
          <t>E1
(E1: Ethical &amp; legal integration)</t>
        </is>
      </c>
      <c r="Z2" s="23" t="inlineStr">
        <is>
          <t>E2
(E2: Suitable for target groups)</t>
        </is>
      </c>
      <c r="AA2" s="23" t="inlineStr">
        <is>
          <t>E3
(E3: Tool &amp; training connection)</t>
        </is>
      </c>
      <c r="AB2" s="23" t="inlineStr">
        <is>
          <t>E4
(E4: Fairness &amp; inclusion)</t>
        </is>
      </c>
      <c r="AC2" s="24" t="inlineStr">
        <is>
          <t>C1
(C1: KSA structure appropriate)</t>
        </is>
      </c>
      <c r="AD2" s="24" t="inlineStr">
        <is>
          <t>C2
(C2: Alignment with learning units)</t>
        </is>
      </c>
      <c r="AE2" s="24" t="inlineStr">
        <is>
          <t>C3
(C3: Responsible AI attitudes)</t>
        </is>
      </c>
      <c r="AF2" s="24" t="inlineStr">
        <is>
          <t>C4
(C4: Foundation for content creation)</t>
        </is>
      </c>
      <c r="AG2" s="25" t="inlineStr">
        <is>
          <t>T1
(T1: Training Programme guidance)</t>
        </is>
      </c>
      <c r="AH2" s="25" t="inlineStr">
        <is>
          <t>T2
(T2: Useful trainer guidance)</t>
        </is>
      </c>
      <c r="AI2" s="25" t="inlineStr">
        <is>
          <t>T3
(T3: Adaptation roadmap helpful)</t>
        </is>
      </c>
      <c r="AJ2" s="25" t="inlineStr">
        <is>
          <t>T4
(T4: Clear for external trainers)</t>
        </is>
      </c>
      <c r="AK2" s="25" t="inlineStr">
        <is>
          <t>T5
(T5: Potential in European contexts)</t>
        </is>
      </c>
      <c r="AL2" s="26" t="inlineStr">
        <is>
          <t>Mean_Sec2
(Mean Sec 2: Purpose)</t>
        </is>
      </c>
      <c r="AM2" s="26" t="inlineStr">
        <is>
          <t>Mean_Sec3
(Mean Sec 3: Structure)</t>
        </is>
      </c>
      <c r="AN2" s="26" t="inlineStr">
        <is>
          <t>Mean_Sec4
(Mean Sec 4: Units)</t>
        </is>
      </c>
      <c r="AO2" s="26" t="inlineStr">
        <is>
          <t>Mean_Sec5
(Mean Sec 5: Ethics)</t>
        </is>
      </c>
      <c r="AP2" s="26" t="inlineStr">
        <is>
          <t>Mean_Sec6
(Mean Sec 6: Competences)</t>
        </is>
      </c>
      <c r="AQ2" s="26" t="inlineStr">
        <is>
          <t>Mean_Sec7
(Mean Sec 7: Transfer)</t>
        </is>
      </c>
      <c r="AR2" s="26" t="inlineStr">
        <is>
          <t>Overall_Mean
(Overall Mean Score (1-5))</t>
        </is>
      </c>
      <c r="AS2" s="27" t="inlineStr">
        <is>
          <t>Q1_Strengths
(Q1: Main Strengths of Itinerary)</t>
        </is>
      </c>
      <c r="AT2" s="27" t="inlineStr">
        <is>
          <t>Q2_Improvements
(Q2: Aspects to Revise / Improve)</t>
        </is>
      </c>
      <c r="AU2" s="27" t="inlineStr">
        <is>
          <t>Q3_Missing_Topics
(Q3: Missing Topics / Competences)</t>
        </is>
      </c>
    </row>
    <row r="3">
      <c r="A3" s="28" t="inlineStr">
        <is>
          <t>2026-09-22 14:30:00</t>
        </is>
      </c>
      <c r="B3" s="28" t="inlineStr">
        <is>
          <t>itinerario-formativo</t>
        </is>
      </c>
      <c r="C3" s="28" t="inlineStr">
        <is>
          <t>EN</t>
        </is>
      </c>
      <c r="D3" s="29" t="inlineStr">
        <is>
          <t>Sample Evaluator</t>
        </is>
      </c>
      <c r="E3" s="29" t="inlineStr">
        <is>
          <t>evaluator@example.eu</t>
        </is>
      </c>
      <c r="F3" s="29" t="inlineStr">
        <is>
          <t>Industrial Training Center / SME</t>
        </is>
      </c>
      <c r="G3" s="28" t="inlineStr">
        <is>
          <t>ES</t>
        </is>
      </c>
      <c r="H3" s="29" t="inlineStr">
        <is>
          <t>vet_trainer</t>
        </is>
      </c>
      <c r="I3" s="29" t="inlineStr"/>
      <c r="J3" s="28" t="inlineStr">
        <is>
          <t>11-20</t>
        </is>
      </c>
      <c r="K3" s="28" t="inlineStr">
        <is>
          <t>moderate</t>
        </is>
      </c>
      <c r="L3" s="28" t="n">
        <v>5</v>
      </c>
      <c r="M3" s="28" t="n">
        <v>4</v>
      </c>
      <c r="N3" s="28" t="n">
        <v>5</v>
      </c>
      <c r="O3" s="28" t="n">
        <v>4</v>
      </c>
      <c r="P3" s="28" t="n">
        <v>5</v>
      </c>
      <c r="Q3" s="28" t="n">
        <v>4</v>
      </c>
      <c r="R3" s="28" t="n">
        <v>5</v>
      </c>
      <c r="S3" s="28" t="n">
        <v>4</v>
      </c>
      <c r="T3" s="28" t="n">
        <v>5</v>
      </c>
      <c r="U3" s="28" t="n">
        <v>5</v>
      </c>
      <c r="V3" s="28" t="n">
        <v>4</v>
      </c>
      <c r="W3" s="28" t="n">
        <v>4</v>
      </c>
      <c r="X3" s="28" t="n">
        <v>5</v>
      </c>
      <c r="Y3" s="28" t="n">
        <v>5</v>
      </c>
      <c r="Z3" s="28" t="n">
        <v>4</v>
      </c>
      <c r="AA3" s="28" t="n">
        <v>5</v>
      </c>
      <c r="AB3" s="28" t="n">
        <v>4</v>
      </c>
      <c r="AC3" s="28" t="n">
        <v>5</v>
      </c>
      <c r="AD3" s="28" t="n">
        <v>4</v>
      </c>
      <c r="AE3" s="28" t="n">
        <v>4</v>
      </c>
      <c r="AF3" s="28" t="n">
        <v>5</v>
      </c>
      <c r="AG3" s="28" t="n">
        <v>4</v>
      </c>
      <c r="AH3" s="28" t="n">
        <v>5</v>
      </c>
      <c r="AI3" s="28" t="n">
        <v>4</v>
      </c>
      <c r="AJ3" s="28" t="n">
        <v>5</v>
      </c>
      <c r="AK3" s="28" t="n">
        <v>5</v>
      </c>
      <c r="AL3" s="30">
        <f>AVERAGE(L3:O3)</f>
        <v/>
      </c>
      <c r="AM3" s="30">
        <f>AVERAGE(P3:S3)</f>
        <v/>
      </c>
      <c r="AN3" s="30">
        <f>AVERAGE(T3:X3)</f>
        <v/>
      </c>
      <c r="AO3" s="30">
        <f>AVERAGE(Y3:AB3)</f>
        <v/>
      </c>
      <c r="AP3" s="30">
        <f>AVERAGE(AC3:AF3)</f>
        <v/>
      </c>
      <c r="AQ3" s="30">
        <f>AVERAGE(AG3:AK3)</f>
        <v/>
      </c>
      <c r="AR3" s="30">
        <f>AVERAGE(L3:AK3)</f>
        <v/>
      </c>
      <c r="AS3" s="31" t="inlineStr">
        <is>
          <t>Excellent structure of the 6 learning units with immediate applicability to industrial SMEs.</t>
        </is>
      </c>
      <c r="AT3" s="31" t="inlineStr">
        <is>
          <t>Include more real-world prompting templates for industrial inspection in Unit 3.</t>
        </is>
      </c>
      <c r="AU3" s="31" t="inlineStr">
        <is>
          <t>None, the itinerary provides a very comprehensive foundation.</t>
        </is>
      </c>
    </row>
  </sheetData>
  <autoFilter ref="A2:AU3"/>
  <mergeCells count="9">
    <mergeCell ref="P1:S1"/>
    <mergeCell ref="AS1:AU1"/>
    <mergeCell ref="AC1:AF1"/>
    <mergeCell ref="AG1:AK1"/>
    <mergeCell ref="T1:X1"/>
    <mergeCell ref="L1:O1"/>
    <mergeCell ref="A1:K1"/>
    <mergeCell ref="Y1:AB1"/>
    <mergeCell ref="AL1:A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50" customWidth="1" min="3" max="3"/>
    <col width="50" customWidth="1" min="4" max="4"/>
    <col width="22" customWidth="1" min="5" max="5"/>
  </cols>
  <sheetData>
    <row r="1" ht="32" customHeight="1">
      <c r="A1" s="32" t="inlineStr">
        <is>
          <t>LEARNING BRAINS (ERASMUS+) - VALIDATION CODEBOOK &amp; VARIABLE DICTIONARY</t>
        </is>
      </c>
    </row>
    <row r="3" ht="26" customHeight="1">
      <c r="A3" s="33" t="inlineStr">
        <is>
          <t>Item Code</t>
        </is>
      </c>
      <c r="B3" s="34" t="inlineStr">
        <is>
          <t>Section Name</t>
        </is>
      </c>
      <c r="C3" s="34" t="inlineStr">
        <is>
          <t>Official Question Text (English)</t>
        </is>
      </c>
      <c r="D3" s="34" t="inlineStr">
        <is>
          <t>Question Text (Spanish Reference)</t>
        </is>
      </c>
      <c r="E3" s="33" t="inlineStr">
        <is>
          <t>Scale / Response Type</t>
        </is>
      </c>
    </row>
    <row r="4">
      <c r="A4" s="28" t="inlineStr">
        <is>
          <t>P1</t>
        </is>
      </c>
      <c r="B4" s="29" t="inlineStr">
        <is>
          <t>Section 2. Purpose and relevance</t>
        </is>
      </c>
      <c r="C4" s="29" t="inlineStr">
        <is>
          <t>The itinerary addresses relevant needs related to on-the-job training in industrial companies.</t>
        </is>
      </c>
      <c r="D4" s="29" t="inlineStr">
        <is>
          <t>El itinerario responde a necesidades relevantes relacionadas con el aprendizaje en el puesto de trabajo en empresas industriales.</t>
        </is>
      </c>
      <c r="E4" s="28" t="inlineStr">
        <is>
          <t>Likert Scale (1 - 5)</t>
        </is>
      </c>
    </row>
    <row r="5">
      <c r="A5" s="28" t="inlineStr">
        <is>
          <t>P2</t>
        </is>
      </c>
      <c r="B5" s="29" t="inlineStr">
        <is>
          <t>Section 2. Purpose and relevance</t>
        </is>
      </c>
      <c r="C5" s="29" t="inlineStr">
        <is>
          <t>The overall aims of the itinerary are clear.</t>
        </is>
      </c>
      <c r="D5" s="29" t="inlineStr">
        <is>
          <t>Los objetivos generales del itinerario son claros.</t>
        </is>
      </c>
      <c r="E5" s="28" t="inlineStr">
        <is>
          <t>Likert Scale (1 - 5)</t>
        </is>
      </c>
    </row>
    <row r="6">
      <c r="A6" s="28" t="inlineStr">
        <is>
          <t>P3</t>
        </is>
      </c>
      <c r="B6" s="29" t="inlineStr">
        <is>
          <t>Section 2. Purpose and relevance</t>
        </is>
      </c>
      <c r="C6" s="29" t="inlineStr">
        <is>
          <t>The intended target groups are clearly identified.</t>
        </is>
      </c>
      <c r="D6" s="29" t="inlineStr">
        <is>
          <t>Los grupos destinatarios previstos están claramente identificados.</t>
        </is>
      </c>
      <c r="E6" s="28" t="inlineStr">
        <is>
          <t>Likert Scale (1 - 5)</t>
        </is>
      </c>
    </row>
    <row r="7">
      <c r="A7" s="28" t="inlineStr">
        <is>
          <t>P4</t>
        </is>
      </c>
      <c r="B7" s="29" t="inlineStr">
        <is>
          <t>Section 2. Purpose and relevance</t>
        </is>
      </c>
      <c r="C7" s="29" t="inlineStr">
        <is>
          <t>The itinerary is relevant to HR and training managers and identified target groups.</t>
        </is>
      </c>
      <c r="D7" s="29" t="inlineStr">
        <is>
          <t>El itinerario es relevante para los responsables de RRHH, formadores y los grupos destinatarios identificados.</t>
        </is>
      </c>
      <c r="E7" s="28" t="inlineStr">
        <is>
          <t>Likert Scale (1 - 5)</t>
        </is>
      </c>
    </row>
    <row r="8">
      <c r="A8" s="28" t="inlineStr">
        <is>
          <t>S1</t>
        </is>
      </c>
      <c r="B8" s="29" t="inlineStr">
        <is>
          <t>Section 3. Structure and coherence</t>
        </is>
      </c>
      <c r="C8" s="29" t="inlineStr">
        <is>
          <t>The document is clearly structured and easy to navigate.</t>
        </is>
      </c>
      <c r="D8" s="29" t="inlineStr">
        <is>
          <t>El documento está claramente estructurado y es fácil de navegar y consultar.</t>
        </is>
      </c>
      <c r="E8" s="28" t="inlineStr">
        <is>
          <t>Likert Scale (1 - 5)</t>
        </is>
      </c>
    </row>
    <row r="9">
      <c r="A9" s="28" t="inlineStr">
        <is>
          <t>S2</t>
        </is>
      </c>
      <c r="B9" s="29" t="inlineStr">
        <is>
          <t>Section 3. Structure and coherence</t>
        </is>
      </c>
      <c r="C9" s="29" t="inlineStr">
        <is>
          <t>The division of the document into four parts is useful and logical.</t>
        </is>
      </c>
      <c r="D9" s="29" t="inlineStr">
        <is>
          <t>La división del documento en cuatro partes es útil y lógica.</t>
        </is>
      </c>
      <c r="E9" s="28" t="inlineStr">
        <is>
          <t>Likert Scale (1 - 5)</t>
        </is>
      </c>
    </row>
    <row r="10">
      <c r="A10" s="28" t="inlineStr">
        <is>
          <t>S3</t>
        </is>
      </c>
      <c r="B10" s="29" t="inlineStr">
        <is>
          <t>Section 3. Structure and coherence</t>
        </is>
      </c>
      <c r="C10" s="29" t="inlineStr">
        <is>
          <t>The relationship between the framework, the learning units, the guidance for trainers and the European reference frameworks is clear.</t>
        </is>
      </c>
      <c r="D10" s="29" t="inlineStr">
        <is>
          <t>La relación entre el marco, las unidades de aprendizaje, la guía para formadores y los marcos de referencia europeos es clara.</t>
        </is>
      </c>
      <c r="E10" s="28" t="inlineStr">
        <is>
          <t>Likert Scale (1 - 5)</t>
        </is>
      </c>
    </row>
    <row r="11">
      <c r="A11" s="28" t="inlineStr">
        <is>
          <t>S4</t>
        </is>
      </c>
      <c r="B11" s="29" t="inlineStr">
        <is>
          <t>Section 3. Structure and coherence</t>
        </is>
      </c>
      <c r="C11" s="29" t="inlineStr">
        <is>
          <t>The progression between the learning units is coherent.</t>
        </is>
      </c>
      <c r="D11" s="29" t="inlineStr">
        <is>
          <t>La progresión entre las unidades de aprendizaje es coherente.</t>
        </is>
      </c>
      <c r="E11" s="28" t="inlineStr">
        <is>
          <t>Likert Scale (1 - 5)</t>
        </is>
      </c>
    </row>
    <row r="12">
      <c r="A12" s="28" t="inlineStr">
        <is>
          <t>U1</t>
        </is>
      </c>
      <c r="B12" s="29" t="inlineStr">
        <is>
          <t>Section 4. Learning units</t>
        </is>
      </c>
      <c r="C12" s="29" t="inlineStr">
        <is>
          <t>The six learning units collectively cover the main competences needed to use AI in on-the-job training.</t>
        </is>
      </c>
      <c r="D12" s="29" t="inlineStr">
        <is>
          <t>Las seis unidades de aprendizaje cubren en conjunto las principales competencias necesarias para utilizar la IA en la formación en el puesto de trabajo.</t>
        </is>
      </c>
      <c r="E12" s="28" t="inlineStr">
        <is>
          <t>Likert Scale (1 - 5)</t>
        </is>
      </c>
    </row>
    <row r="13">
      <c r="A13" s="28" t="inlineStr">
        <is>
          <t>U2</t>
        </is>
      </c>
      <c r="B13" s="29" t="inlineStr">
        <is>
          <t>Section 4. Learning units</t>
        </is>
      </c>
      <c r="C13" s="29" t="inlineStr">
        <is>
          <t>The descriptions of the core focus of each unit are clear.</t>
        </is>
      </c>
      <c r="D13" s="29" t="inlineStr">
        <is>
          <t>Las descripciones del enfoque central de cada unidad formativa son claras.</t>
        </is>
      </c>
      <c r="E13" s="28" t="inlineStr">
        <is>
          <t>Likert Scale (1 - 5)</t>
        </is>
      </c>
    </row>
    <row r="14">
      <c r="A14" s="28" t="inlineStr">
        <is>
          <t>U3</t>
        </is>
      </c>
      <c r="B14" s="29" t="inlineStr">
        <is>
          <t>Section 4. Learning units</t>
        </is>
      </c>
      <c r="C14" s="29" t="inlineStr">
        <is>
          <t>The main learning outcomes are realistic and appropriate.</t>
        </is>
      </c>
      <c r="D14" s="29" t="inlineStr">
        <is>
          <t>Los principales resultados de aprendizaje previstos son realistas y adecuados.</t>
        </is>
      </c>
      <c r="E14" s="28" t="inlineStr">
        <is>
          <t>Likert Scale (1 - 5)</t>
        </is>
      </c>
    </row>
    <row r="15">
      <c r="A15" s="28" t="inlineStr">
        <is>
          <t>U4</t>
        </is>
      </c>
      <c r="B15" s="29" t="inlineStr">
        <is>
          <t>Section 4. Learning units</t>
        </is>
      </c>
      <c r="C15" s="29" t="inlineStr">
        <is>
          <t>The balance between conceptual understanding and practical application is appropriate.</t>
        </is>
      </c>
      <c r="D15" s="29" t="inlineStr">
        <is>
          <t>El equilibrio entre la comprensión conceptual y la aplicación práctica es el adecuado.</t>
        </is>
      </c>
      <c r="E15" s="28" t="inlineStr">
        <is>
          <t>Likert Scale (1 - 5)</t>
        </is>
      </c>
    </row>
    <row r="16">
      <c r="A16" s="28" t="inlineStr">
        <is>
          <t>U5</t>
        </is>
      </c>
      <c r="B16" s="29" t="inlineStr">
        <is>
          <t>Section 4. Learning units</t>
        </is>
      </c>
      <c r="C16" s="29" t="inlineStr">
        <is>
          <t>The learning units are sufficiently adaptable to different learner profiles and company contexts.</t>
        </is>
      </c>
      <c r="D16" s="29" t="inlineStr">
        <is>
          <t>Las unidades de aprendizaje son suficientemente adaptables a distintos perfiles de alumnado y contextos de empresa.</t>
        </is>
      </c>
      <c r="E16" s="28" t="inlineStr">
        <is>
          <t>Likert Scale (1 - 5)</t>
        </is>
      </c>
    </row>
    <row r="17">
      <c r="A17" s="28" t="inlineStr">
        <is>
          <t>E1</t>
        </is>
      </c>
      <c r="B17" s="29" t="inlineStr">
        <is>
          <t>Section 5. Ethical, legal and inclusive principles</t>
        </is>
      </c>
      <c r="C17" s="29" t="inlineStr">
        <is>
          <t>Ethical and legal aspects are sufficiently integrated into the itinerary.</t>
        </is>
      </c>
      <c r="D17" s="29" t="inlineStr">
        <is>
          <t>Los aspectos éticos y legales están suficientemente integrados en el itinerario.</t>
        </is>
      </c>
      <c r="E17" s="28" t="inlineStr">
        <is>
          <t>Likert Scale (1 - 5)</t>
        </is>
      </c>
    </row>
    <row r="18">
      <c r="A18" s="28" t="inlineStr">
        <is>
          <t>E2</t>
        </is>
      </c>
      <c r="B18" s="29" t="inlineStr">
        <is>
          <t>Section 5. Ethical, legal and inclusive principles</t>
        </is>
      </c>
      <c r="C18" s="29" t="inlineStr">
        <is>
          <t>The treatment of ethical and legal issues is appropriate for the target groups.</t>
        </is>
      </c>
      <c r="D18" s="29" t="inlineStr">
        <is>
          <t>El tratamiento de las cuestiones éticas y legales es adecuado para los grupos destinatarios.</t>
        </is>
      </c>
      <c r="E18" s="28" t="inlineStr">
        <is>
          <t>Likert Scale (1 - 5)</t>
        </is>
      </c>
    </row>
    <row r="19">
      <c r="A19" s="28" t="inlineStr">
        <is>
          <t>E3</t>
        </is>
      </c>
      <c r="B19" s="29" t="inlineStr">
        <is>
          <t>Section 5. Ethical, legal and inclusive principles</t>
        </is>
      </c>
      <c r="C19" s="29" t="inlineStr">
        <is>
          <t>The ethical dimension is connected meaningfully with tool selection, training design and implementation.</t>
        </is>
      </c>
      <c r="D19" s="29" t="inlineStr">
        <is>
          <t>La dimensión ética se conecta de forma significativa con la selección de herramientas, el diseño formativo y su ejecución.</t>
        </is>
      </c>
      <c r="E19" s="28" t="inlineStr">
        <is>
          <t>Likert Scale (1 - 5)</t>
        </is>
      </c>
    </row>
    <row r="20">
      <c r="A20" s="28" t="inlineStr">
        <is>
          <t>E4</t>
        </is>
      </c>
      <c r="B20" s="29" t="inlineStr">
        <is>
          <t>Section 5. Ethical, legal and inclusive principles</t>
        </is>
      </c>
      <c r="C20" s="29" t="inlineStr">
        <is>
          <t>The itinerary gives appropriate attention to fairness, accessibility and inclusion.</t>
        </is>
      </c>
      <c r="D20" s="29" t="inlineStr">
        <is>
          <t>El itinerario presta la debida atención a la equidad, la accesibilidad y la inclusión.</t>
        </is>
      </c>
      <c r="E20" s="28" t="inlineStr">
        <is>
          <t>Likert Scale (1 - 5)</t>
        </is>
      </c>
    </row>
    <row r="21">
      <c r="A21" s="28" t="inlineStr">
        <is>
          <t>C1</t>
        </is>
      </c>
      <c r="B21" s="29" t="inlineStr">
        <is>
          <t>Section 6. Competence framework</t>
        </is>
      </c>
      <c r="C21" s="29" t="inlineStr">
        <is>
          <t>The Knowledge, Skills and Attitudes structure is appropriate for the itinerary.</t>
        </is>
      </c>
      <c r="D21" s="29" t="inlineStr">
        <is>
          <t>La estructura de Conocimientos, Habilidades y Actitudes (KSA) es adecuada para el itinerario.</t>
        </is>
      </c>
      <c r="E21" s="28" t="inlineStr">
        <is>
          <t>Likert Scale (1 - 5)</t>
        </is>
      </c>
    </row>
    <row r="22">
      <c r="A22" s="28" t="inlineStr">
        <is>
          <t>C2</t>
        </is>
      </c>
      <c r="B22" s="29" t="inlineStr">
        <is>
          <t>Section 6. Competence framework</t>
        </is>
      </c>
      <c r="C22" s="29" t="inlineStr">
        <is>
          <t>The competence framework is aligned with the learning units.</t>
        </is>
      </c>
      <c r="D22" s="29" t="inlineStr">
        <is>
          <t>El marco de competencias está debidamente alineado con las unidades de aprendizaje.</t>
        </is>
      </c>
      <c r="E22" s="28" t="inlineStr">
        <is>
          <t>Likert Scale (1 - 5)</t>
        </is>
      </c>
    </row>
    <row r="23">
      <c r="A23" s="28" t="inlineStr">
        <is>
          <t>C3</t>
        </is>
      </c>
      <c r="B23" s="29" t="inlineStr">
        <is>
          <t>Section 6. Competence framework</t>
        </is>
      </c>
      <c r="C23" s="29" t="inlineStr">
        <is>
          <t>The attitudes identified are appropriate for responsible and practical use of AI.</t>
        </is>
      </c>
      <c r="D23" s="29" t="inlineStr">
        <is>
          <t>Las actitudes identificadas son adecuadas para un uso responsable y práctico de la IA.</t>
        </is>
      </c>
      <c r="E23" s="28" t="inlineStr">
        <is>
          <t>Likert Scale (1 - 5)</t>
        </is>
      </c>
    </row>
    <row r="24">
      <c r="A24" s="28" t="inlineStr">
        <is>
          <t>C4</t>
        </is>
      </c>
      <c r="B24" s="29" t="inlineStr">
        <is>
          <t>Section 6. Competence framework</t>
        </is>
      </c>
      <c r="C24" s="29" t="inlineStr">
        <is>
          <t>The competence framework can support the subsequent development of learning content and activities.</t>
        </is>
      </c>
      <c r="D24" s="29" t="inlineStr">
        <is>
          <t>El marco de competencias puede sustentar con éxito el posterior desarrollo de contenidos y actividades formativas.</t>
        </is>
      </c>
      <c r="E24" s="28" t="inlineStr">
        <is>
          <t>Likert Scale (1 - 5)</t>
        </is>
      </c>
    </row>
    <row r="25">
      <c r="A25" s="28" t="inlineStr">
        <is>
          <t>T1</t>
        </is>
      </c>
      <c r="B25" s="29" t="inlineStr">
        <is>
          <t>Section 7. Practical use and transferability</t>
        </is>
      </c>
      <c r="C25" s="29" t="inlineStr">
        <is>
          <t>The itinerary provides useful guidance for developing a complete Training Programme.</t>
        </is>
      </c>
      <c r="D25" s="29" t="inlineStr">
        <is>
          <t>El itinerario proporciona directrices útiles para el desarrollo de un Programa Formativo integral.</t>
        </is>
      </c>
      <c r="E25" s="28" t="inlineStr">
        <is>
          <t>Likert Scale (1 - 5)</t>
        </is>
      </c>
    </row>
    <row r="26">
      <c r="A26" s="28" t="inlineStr">
        <is>
          <t>T2</t>
        </is>
      </c>
      <c r="B26" s="29" t="inlineStr">
        <is>
          <t>Section 7. Practical use and transferability</t>
        </is>
      </c>
      <c r="C26" s="29" t="inlineStr">
        <is>
          <t>The practical guidance for trainers is useful.</t>
        </is>
      </c>
      <c r="D26" s="29" t="inlineStr">
        <is>
          <t>Las orientaciones prácticas para formadores son de gran utilidad.</t>
        </is>
      </c>
      <c r="E26" s="28" t="inlineStr">
        <is>
          <t>Likert Scale (1 - 5)</t>
        </is>
      </c>
    </row>
    <row r="27">
      <c r="A27" s="28" t="inlineStr">
        <is>
          <t>T3</t>
        </is>
      </c>
      <c r="B27" s="29" t="inlineStr">
        <is>
          <t>Section 7. Practical use and transferability</t>
        </is>
      </c>
      <c r="C27" s="29" t="inlineStr">
        <is>
          <t>The adaptation roadmap can help external trainers adapt the itinerary to different learner groups.</t>
        </is>
      </c>
      <c r="D27" s="29" t="inlineStr">
        <is>
          <t>La hoja de ruta de adaptación puede ayudar a formadores externos a adaptar el itinerario a diversos grupos de participantes.</t>
        </is>
      </c>
      <c r="E27" s="28" t="inlineStr">
        <is>
          <t>Likert Scale (1 - 5)</t>
        </is>
      </c>
    </row>
    <row r="28">
      <c r="A28" s="28" t="inlineStr">
        <is>
          <t>T4</t>
        </is>
      </c>
      <c r="B28" s="29" t="inlineStr">
        <is>
          <t>Section 7. Practical use and transferability</t>
        </is>
      </c>
      <c r="C28" s="29" t="inlineStr">
        <is>
          <t>The itinerary is sufficiently clear to be used by trainers or organisations outside the consortium or beyond the project activities.</t>
        </is>
      </c>
      <c r="D28" s="29" t="inlineStr">
        <is>
          <t>El itinerario es suficientemente claro como para ser utilizado por formadores u organizaciones ajenas al consorcio o más allá de las actividades del proyecto.</t>
        </is>
      </c>
      <c r="E28" s="28" t="inlineStr">
        <is>
          <t>Likert Scale (1 - 5)</t>
        </is>
      </c>
    </row>
    <row r="29">
      <c r="A29" s="28" t="inlineStr">
        <is>
          <t>T5</t>
        </is>
      </c>
      <c r="B29" s="29" t="inlineStr">
        <is>
          <t>Section 7. Practical use and transferability</t>
        </is>
      </c>
      <c r="C29" s="29" t="inlineStr">
        <is>
          <t>The document has potential to support the development of training actions in different European contexts.</t>
        </is>
      </c>
      <c r="D29" s="29" t="inlineStr">
        <is>
          <t>El documento tiene un alto potencial para respaldar el desarrollo de acciones formativas en diversos contextos europeos.</t>
        </is>
      </c>
      <c r="E29" s="28" t="inlineStr">
        <is>
          <t>Likert Scale (1 - 5)</t>
        </is>
      </c>
    </row>
    <row r="30">
      <c r="A30" s="28" t="inlineStr">
        <is>
          <t>Q1_Strengths</t>
        </is>
      </c>
      <c r="B30" s="29" t="inlineStr">
        <is>
          <t>Section 8. Qualitative Feedback</t>
        </is>
      </c>
      <c r="C30" s="29" t="inlineStr">
        <is>
          <t>What do you consider to be the main strengths of the Learning Brains Training Itinerary?</t>
        </is>
      </c>
      <c r="D30" s="29" t="inlineStr">
        <is>
          <t>¿Cuáles consideras que son los principales puntos fuertes del Itinerario Formativo de Learning Brains?</t>
        </is>
      </c>
      <c r="E30" s="28" t="inlineStr">
        <is>
          <t>Open Text</t>
        </is>
      </c>
    </row>
    <row r="31">
      <c r="A31" s="28" t="inlineStr">
        <is>
          <t>Q2_Improvements</t>
        </is>
      </c>
      <c r="B31" s="29" t="inlineStr">
        <is>
          <t>Section 8. Qualitative Feedback</t>
        </is>
      </c>
      <c r="C31" s="29" t="inlineStr">
        <is>
          <t>What aspects, if any, would you suggest revising or developing further?</t>
        </is>
      </c>
      <c r="D31" s="29" t="inlineStr">
        <is>
          <t>¿Qué aspectos, en su caso, sugerirías revisar o desarrollar más a fondo?</t>
        </is>
      </c>
      <c r="E31" s="28" t="inlineStr">
        <is>
          <t>Open Text</t>
        </is>
      </c>
    </row>
    <row r="32">
      <c r="A32" s="28" t="inlineStr">
        <is>
          <t>Q3_Missing_Topics</t>
        </is>
      </c>
      <c r="B32" s="29" t="inlineStr">
        <is>
          <t>Section 8. Qualitative Feedback</t>
        </is>
      </c>
      <c r="C32" s="29" t="inlineStr">
        <is>
          <t>Do you think any relevant topic is missing from the Learning Brains Training Itinerary? If yes, please specify.</t>
        </is>
      </c>
      <c r="D32" s="29" t="inlineStr">
        <is>
          <t>¿Consideras que falta algún tema relevante en el Itinerario Formativo de Learning Brains? En caso afirmativo, indícalo por favor.</t>
        </is>
      </c>
      <c r="E32" s="28" t="inlineStr">
        <is>
          <t>Open Text</t>
        </is>
      </c>
    </row>
    <row r="35">
      <c r="A35" s="35" t="inlineStr">
        <is>
          <t>Likert Scale Definition (1 - 5):</t>
        </is>
      </c>
    </row>
    <row r="36">
      <c r="A36" s="28" t="inlineStr">
        <is>
          <t>1</t>
        </is>
      </c>
      <c r="B36" s="29" t="inlineStr">
        <is>
          <t>Strongly Disagree / Totalmente en desacuerdo</t>
        </is>
      </c>
    </row>
    <row r="37">
      <c r="A37" s="28" t="inlineStr">
        <is>
          <t>2</t>
        </is>
      </c>
      <c r="B37" s="29" t="inlineStr">
        <is>
          <t>Disagree / En desacuerdo</t>
        </is>
      </c>
    </row>
    <row r="38">
      <c r="A38" s="28" t="inlineStr">
        <is>
          <t>3</t>
        </is>
      </c>
      <c r="B38" s="29" t="inlineStr">
        <is>
          <t>Neutral (Neither agree nor disagree) / Neutral</t>
        </is>
      </c>
    </row>
    <row r="39">
      <c r="A39" s="28" t="inlineStr">
        <is>
          <t>4</t>
        </is>
      </c>
      <c r="B39" s="29" t="inlineStr">
        <is>
          <t>Agree / De acuerdo</t>
        </is>
      </c>
    </row>
    <row r="40">
      <c r="A40" s="28" t="inlineStr">
        <is>
          <t>5</t>
        </is>
      </c>
      <c r="B40" s="29" t="inlineStr">
        <is>
          <t>Strongly Agree / Totalmente de acuerdo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38" customWidth="1" min="4" max="4"/>
  </cols>
  <sheetData>
    <row r="1" ht="30" customHeight="1">
      <c r="A1" s="32" t="inlineStr">
        <is>
          <t>LEARNING BRAINS (ERASMUS+) - EXECUTIVE VALIDATION DASHBOARD</t>
        </is>
      </c>
    </row>
    <row r="3">
      <c r="A3" s="36" t="inlineStr">
        <is>
          <t>Evaluation Dimension / Area</t>
        </is>
      </c>
      <c r="B3" s="37" t="inlineStr">
        <is>
          <t>Key Metric</t>
        </is>
      </c>
      <c r="C3" s="37" t="inlineStr">
        <is>
          <t>Score Range</t>
        </is>
      </c>
      <c r="D3" s="37" t="inlineStr">
        <is>
          <t>Calculation Basis</t>
        </is>
      </c>
    </row>
    <row r="4">
      <c r="A4" s="29" t="inlineStr">
        <is>
          <t>Total Completed Validations Received</t>
        </is>
      </c>
      <c r="B4" s="38">
        <f>COUNTA(Validation_Responses!A3:A500)</f>
        <v/>
      </c>
      <c r="C4" s="39" t="inlineStr">
        <is>
          <t>Total Count</t>
        </is>
      </c>
      <c r="D4" s="40" t="inlineStr">
        <is>
          <t>Respondent entries count</t>
        </is>
      </c>
    </row>
    <row r="5">
      <c r="A5" s="29" t="inlineStr">
        <is>
          <t>Section 2: Purpose &amp; Relevance Mean</t>
        </is>
      </c>
      <c r="B5" s="41">
        <f>AVERAGE(Validation_Responses!AL3:AL500)</f>
        <v/>
      </c>
      <c r="C5" s="39" t="inlineStr">
        <is>
          <t>1.00 - 5.00</t>
        </is>
      </c>
      <c r="D5" s="40" t="inlineStr">
        <is>
          <t>Average of items P1 to P4</t>
        </is>
      </c>
    </row>
    <row r="6">
      <c r="A6" s="29" t="inlineStr">
        <is>
          <t>Section 3: Structure &amp; Coherence Mean</t>
        </is>
      </c>
      <c r="B6" s="41">
        <f>AVERAGE(Validation_Responses!AM3:AM500)</f>
        <v/>
      </c>
      <c r="C6" s="39" t="inlineStr">
        <is>
          <t>1.00 - 5.00</t>
        </is>
      </c>
      <c r="D6" s="40" t="inlineStr">
        <is>
          <t>Average of items S1 to S4</t>
        </is>
      </c>
    </row>
    <row r="7">
      <c r="A7" s="29" t="inlineStr">
        <is>
          <t>Section 4: Learning Units Mean</t>
        </is>
      </c>
      <c r="B7" s="41">
        <f>AVERAGE(Validation_Responses!AN3:AN500)</f>
        <v/>
      </c>
      <c r="C7" s="39" t="inlineStr">
        <is>
          <t>1.00 - 5.00</t>
        </is>
      </c>
      <c r="D7" s="40" t="inlineStr">
        <is>
          <t>Average of items U1 to U5</t>
        </is>
      </c>
    </row>
    <row r="8">
      <c r="A8" s="29" t="inlineStr">
        <is>
          <t>Section 5: Ethical &amp; Legal Principles Mean</t>
        </is>
      </c>
      <c r="B8" s="41">
        <f>AVERAGE(Validation_Responses!AO3:AO500)</f>
        <v/>
      </c>
      <c r="C8" s="39" t="inlineStr">
        <is>
          <t>1.00 - 5.00</t>
        </is>
      </c>
      <c r="D8" s="40" t="inlineStr">
        <is>
          <t>Average of items E1 to E4</t>
        </is>
      </c>
    </row>
    <row r="9">
      <c r="A9" s="29" t="inlineStr">
        <is>
          <t>Section 6: Competence Framework Mean</t>
        </is>
      </c>
      <c r="B9" s="41">
        <f>AVERAGE(Validation_Responses!AP3:AP500)</f>
        <v/>
      </c>
      <c r="C9" s="39" t="inlineStr">
        <is>
          <t>1.00 - 5.00</t>
        </is>
      </c>
      <c r="D9" s="40" t="inlineStr">
        <is>
          <t>Average of items C1 to C4</t>
        </is>
      </c>
    </row>
    <row r="10">
      <c r="A10" s="29" t="inlineStr">
        <is>
          <t>Section 7: Practical Use &amp; Transferability Mean</t>
        </is>
      </c>
      <c r="B10" s="41">
        <f>AVERAGE(Validation_Responses!AQ3:AQ500)</f>
        <v/>
      </c>
      <c r="C10" s="39" t="inlineStr">
        <is>
          <t>1.00 - 5.00</t>
        </is>
      </c>
      <c r="D10" s="40" t="inlineStr">
        <is>
          <t>Average of items T1 to T5</t>
        </is>
      </c>
    </row>
    <row r="11">
      <c r="A11" s="42" t="inlineStr">
        <is>
          <t>OVERALL ITINERARY MEAN SCORE</t>
        </is>
      </c>
      <c r="B11" s="43">
        <f>AVERAGE(Validation_Responses!AR3:AR500)</f>
        <v/>
      </c>
      <c r="C11" s="44" t="inlineStr">
        <is>
          <t>1.00 - 5.00</t>
        </is>
      </c>
      <c r="D11" s="45" t="inlineStr">
        <is>
          <t>Overall Mean across all 26 Likert items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2026-09-22T13:50:11Z</dcterms:created>
  <dcterms:modified xmlns:dcterms="http://purl.org/dc/terms/" xmlns:xsi="http://www.w3.org/2001/XMLSchema-instance" xsi:type="dcterms:W3CDTF">2026-09-22T13:50:11Z</dcterms:modified>
</cp:coreProperties>
</file>