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sponses" sheetId="1" state="visible" r:id="rId1"/>
    <sheet xmlns:r="http://schemas.openxmlformats.org/officeDocument/2006/relationships" name="Codebook_Questions" sheetId="2" state="visible" r:id="rId2"/>
    <sheet xmlns:r="http://schemas.openxmlformats.org/officeDocument/2006/relationships" name="KPI_Dashboard" sheetId="3" state="visible" r:id="rId3"/>
  </sheets>
  <definedNames>
    <definedName name="_xlnm._FilterDatabase" localSheetId="0" hidden="1">'Validation_Responses'!$A$2:$AS$3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sz val="11"/>
    </font>
    <font>
      <name val="Calibri"/>
      <b val="1"/>
      <color rgb="0092400E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4F46E5"/>
        <bgColor rgb="004F46E5"/>
      </patternFill>
    </fill>
    <fill>
      <patternFill patternType="solid">
        <fgColor rgb="000D9488"/>
        <bgColor rgb="000D9488"/>
      </patternFill>
    </fill>
    <fill>
      <patternFill patternType="solid">
        <fgColor rgb="00059669"/>
        <bgColor rgb="00059669"/>
      </patternFill>
    </fill>
    <fill>
      <patternFill patternType="solid">
        <fgColor rgb="00D97706"/>
        <bgColor rgb="00D97706"/>
      </patternFill>
    </fill>
    <fill>
      <patternFill patternType="solid">
        <fgColor rgb="00475569"/>
        <bgColor rgb="00475569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left"/>
    </xf>
    <xf numFmtId="2" fontId="3" fillId="9" borderId="1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wrapText="1"/>
    </xf>
    <xf numFmtId="0" fontId="6" fillId="0" borderId="0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2" fontId="3" fillId="0" borderId="1" applyAlignment="1" pivotButton="0" quotePrefix="0" xfId="0">
      <alignment horizontal="center"/>
    </xf>
    <xf numFmtId="0" fontId="7" fillId="9" borderId="1" pivotButton="0" quotePrefix="0" xfId="0"/>
    <xf numFmtId="2" fontId="7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9" borderId="1" applyAlignment="1" pivotButton="0" quotePrefix="0" xfId="0">
      <alignment horizontal="left"/>
    </xf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4" customWidth="1" min="4" max="4"/>
    <col width="26" customWidth="1" min="5" max="5"/>
    <col width="28" customWidth="1" min="6" max="6"/>
    <col width="24" customWidth="1" min="7" max="7"/>
    <col width="14" customWidth="1" min="8" max="8"/>
    <col width="25" customWidth="1" min="9" max="9"/>
    <col width="22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40" customWidth="1" min="41" max="41"/>
    <col width="40" customWidth="1" min="42" max="42"/>
    <col width="40" customWidth="1" min="43" max="43"/>
    <col width="40" customWidth="1" min="44" max="44"/>
    <col width="40" customWidth="1" min="45" max="45"/>
  </cols>
  <sheetData>
    <row r="1" ht="28" customHeight="1">
      <c r="A1" s="1" t="inlineStr">
        <is>
          <t>1. METADATA &amp; EVALUATOR PROFILE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2. R1 PURPOSE &amp; RELEVANCE (P1-P6)</t>
        </is>
      </c>
      <c r="L1" s="4" t="n"/>
      <c r="M1" s="4" t="n"/>
      <c r="N1" s="4" t="n"/>
      <c r="O1" s="4" t="n"/>
      <c r="P1" s="4" t="n"/>
      <c r="Q1" s="5" t="inlineStr">
        <is>
          <t>3. QUALITY &amp; COVERAGE OF MAPPING (Q1-Q7)</t>
        </is>
      </c>
      <c r="R1" s="6" t="n"/>
      <c r="S1" s="6" t="n"/>
      <c r="T1" s="6" t="n"/>
      <c r="U1" s="6" t="n"/>
      <c r="V1" s="6" t="n"/>
      <c r="W1" s="6" t="n"/>
      <c r="X1" s="7" t="inlineStr">
        <is>
          <t>4. AI TOOLS, TRENDS &amp; CASE STUDIES (T1-T6)</t>
        </is>
      </c>
      <c r="Y1" s="8" t="n"/>
      <c r="Z1" s="8" t="n"/>
      <c r="AA1" s="8" t="n"/>
      <c r="AB1" s="8" t="n"/>
      <c r="AC1" s="8" t="n"/>
      <c r="AD1" s="9" t="inlineStr">
        <is>
          <t>5. PRACTICAL VALUE &amp; TRANSFERABILITY (V1-V6)</t>
        </is>
      </c>
      <c r="AE1" s="10" t="n"/>
      <c r="AF1" s="10" t="n"/>
      <c r="AG1" s="10" t="n"/>
      <c r="AH1" s="10" t="n"/>
      <c r="AI1" s="10" t="n"/>
      <c r="AJ1" s="11" t="inlineStr">
        <is>
          <t>CALCULATED SECTION AVERAGES (1-5)</t>
        </is>
      </c>
      <c r="AK1" s="12" t="n"/>
      <c r="AL1" s="12" t="n"/>
      <c r="AM1" s="12" t="n"/>
      <c r="AN1" s="12" t="n"/>
      <c r="AO1" s="13" t="inlineStr">
        <is>
          <t>6. KEY RECOMMENDATIONS (QUALITATIVE)</t>
        </is>
      </c>
      <c r="AP1" s="14" t="n"/>
      <c r="AQ1" s="14" t="n"/>
      <c r="AR1" s="14" t="n"/>
      <c r="AS1" s="14" t="n"/>
    </row>
    <row r="2" ht="36" customHeight="1">
      <c r="A2" s="15" t="inlineStr">
        <is>
          <t>Timestamp
(Submission Date (UTC))</t>
        </is>
      </c>
      <c r="B2" s="15" t="inlineStr">
        <is>
          <t>Campaign
(Campaign ID (npc-1))</t>
        </is>
      </c>
      <c r="C2" s="15" t="inlineStr">
        <is>
          <t>Language
(Form Language)</t>
        </is>
      </c>
      <c r="D2" s="15" t="inlineStr">
        <is>
          <t>Full_Name
(Evaluator Name)</t>
        </is>
      </c>
      <c r="E2" s="15" t="inlineStr">
        <is>
          <t>Email
(Evaluator Email)</t>
        </is>
      </c>
      <c r="F2" s="15" t="inlineStr">
        <is>
          <t>Organization
(Organisation / Institution)</t>
        </is>
      </c>
      <c r="G2" s="15" t="inlineStr">
        <is>
          <t>Position
(Position / Role)</t>
        </is>
      </c>
      <c r="H2" s="15" t="inlineStr">
        <is>
          <t>Country</t>
        </is>
      </c>
      <c r="I2" s="15" t="inlineStr">
        <is>
          <t>Professional_Profile
(Professional Profile)</t>
        </is>
      </c>
      <c r="J2" s="15" t="inlineStr">
        <is>
          <t>Other_Profile_Detail
(Other Profile Details)</t>
        </is>
      </c>
      <c r="K2" s="16" t="inlineStr">
        <is>
          <t>P1
(P1: Purpose and intended use clear)</t>
        </is>
      </c>
      <c r="L2" s="16" t="inlineStr">
        <is>
          <t>P2
(P2: Addresses industrial training needs)</t>
        </is>
      </c>
      <c r="M2" s="16" t="inlineStr">
        <is>
          <t>P3
(P3: Relevant to HR, trainers &amp; target groups)</t>
        </is>
      </c>
      <c r="N2" s="16" t="inlineStr">
        <is>
          <t>P4
(P4: Useful overview of AI in workplace learning)</t>
        </is>
      </c>
      <c r="O2" s="16" t="inlineStr">
        <is>
          <t>P5
(P5: Appropriate focus on industrial SMEs)</t>
        </is>
      </c>
      <c r="P2" s="16" t="inlineStr">
        <is>
          <t>P6
(P6: Relevant to support Training Programme)</t>
        </is>
      </c>
      <c r="Q2" s="17" t="inlineStr">
        <is>
          <t>Q1
(Q1: Structured &amp; easy to navigate)</t>
        </is>
      </c>
      <c r="R2" s="17" t="inlineStr">
        <is>
          <t>Q2
(Q2: Findings &amp; trends clear &amp; understandable)</t>
        </is>
      </c>
      <c r="S2" s="17" t="inlineStr">
        <is>
          <t>Q3
(Q3: Range of AI tools appropriate)</t>
        </is>
      </c>
      <c r="T2" s="17" t="inlineStr">
        <is>
          <t>Q4
(Q4: Balanced opportunities, limits &amp; challenges)</t>
        </is>
      </c>
      <c r="U2" s="17" t="inlineStr">
        <is>
          <t>Q5
(Q5: Information current &amp; relevant)</t>
        </is>
      </c>
      <c r="V2" s="17" t="inlineStr">
        <is>
          <t>Q6
(Q6: Useful range of contexts (company, sectoral, national))</t>
        </is>
      </c>
      <c r="W2" s="17" t="inlineStr">
        <is>
          <t>Q7
(Q7: Conclusions consistent with evidence)</t>
        </is>
      </c>
      <c r="X2" s="18" t="inlineStr">
        <is>
          <t>T1
(T1: Explains strengths &amp; limitations of AI apps)</t>
        </is>
      </c>
      <c r="Y2" s="18" t="inlineStr">
        <is>
          <t>T2
(T2: Case studies clear &amp; useful)</t>
        </is>
      </c>
      <c r="Z2" s="18" t="inlineStr">
        <is>
          <t>T3
(T3: Illustrates realistic applications in workplace)</t>
        </is>
      </c>
      <c r="AA2" s="18" t="inlineStr">
        <is>
          <t>T4
(T4: Information on suitability for org contexts)</t>
        </is>
      </c>
      <c r="AB2" s="18" t="inlineStr">
        <is>
          <t>T5
(T5: Trends relevant to inform training content)</t>
        </is>
      </c>
      <c r="AC2" s="18" t="inlineStr">
        <is>
          <t>T6
(T6: Distinguishes promising uses from limited ones)</t>
        </is>
      </c>
      <c r="AD2" s="19" t="inlineStr">
        <is>
          <t>V1
(V1: Helps identify AI uses in own organisation)</t>
        </is>
      </c>
      <c r="AE2" s="19" t="inlineStr">
        <is>
          <t>V2
(V2: Transferable to industrial company contexts)</t>
        </is>
      </c>
      <c r="AF2" s="19" t="inlineStr">
        <is>
          <t>V3
(V3: Reference points for different digital maturity)</t>
        </is>
      </c>
      <c r="AG2" s="19" t="inlineStr">
        <is>
          <t>V4
(V4: Supports informed decision-making)</t>
        </is>
      </c>
      <c r="AH2" s="19" t="inlineStr">
        <is>
          <t>V5
(V5: Ethical, legal &amp; inclusion considerations)</t>
        </is>
      </c>
      <c r="AI2" s="19" t="inlineStr">
        <is>
          <t>V6
(V6: Solid knowledge base for Programme &amp; Toolkit)</t>
        </is>
      </c>
      <c r="AJ2" s="20" t="inlineStr">
        <is>
          <t>Mean_Sec2
(Mean Sec 2: Purpose &amp; Relevance (P1-P6))</t>
        </is>
      </c>
      <c r="AK2" s="20" t="inlineStr">
        <is>
          <t>Mean_Sec3
(Mean Sec 3: Quality &amp; Coverage (Q1-Q7))</t>
        </is>
      </c>
      <c r="AL2" s="20" t="inlineStr">
        <is>
          <t>Mean_Sec4
(Mean Sec 4: Tools &amp; Cases (T1-T6))</t>
        </is>
      </c>
      <c r="AM2" s="20" t="inlineStr">
        <is>
          <t>Mean_Sec5
(Mean Sec 5: Value &amp; Transfer (V1-V6))</t>
        </is>
      </c>
      <c r="AN2" s="20" t="inlineStr">
        <is>
          <t>Overall_Mean
(Overall Mean Score (1-5))</t>
        </is>
      </c>
      <c r="AO2" s="21" t="inlineStr">
        <is>
          <t>REC_1
(6.1: Most relevant findings, trends, tools or cases)</t>
        </is>
      </c>
      <c r="AP2" s="21" t="inlineStr">
        <is>
          <t>REC_2
(6.2: Missing trends, AI types or challenges)</t>
        </is>
      </c>
      <c r="AQ2" s="21" t="inlineStr">
        <is>
          <t>REC_3
(6.3: Sections or statements to clarify/update)</t>
        </is>
      </c>
      <c r="AR2" s="21" t="inlineStr">
        <is>
          <t>REC_4
(6.4: Single most important improvement)</t>
        </is>
      </c>
      <c r="AS2" s="21" t="inlineStr">
        <is>
          <t>REC_5
(6.5: Optional additional comments)</t>
        </is>
      </c>
    </row>
    <row r="3">
      <c r="A3" s="22" t="inlineStr">
        <is>
          <t>2026-09-29 12:00:00</t>
        </is>
      </c>
      <c r="B3" s="22" t="inlineStr">
        <is>
          <t>npc-1</t>
        </is>
      </c>
      <c r="C3" s="22" t="inlineStr">
        <is>
          <t>EN</t>
        </is>
      </c>
      <c r="D3" s="23" t="inlineStr">
        <is>
          <t>Sample NPC Member</t>
        </is>
      </c>
      <c r="E3" s="23" t="inlineStr">
        <is>
          <t>npc.expert@industry.eu</t>
        </is>
      </c>
      <c r="F3" s="23" t="inlineStr">
        <is>
          <t>Manufacturing Competence Center / SME</t>
        </is>
      </c>
      <c r="G3" s="23" t="inlineStr">
        <is>
          <t>Training &amp; Innovation Manager</t>
        </is>
      </c>
      <c r="H3" s="22" t="inlineStr">
        <is>
          <t>Spain</t>
        </is>
      </c>
      <c r="I3" s="24" t="inlineStr">
        <is>
          <t>Industrial company</t>
        </is>
      </c>
      <c r="J3" s="23" t="inlineStr"/>
      <c r="K3" s="22" t="n">
        <v>5</v>
      </c>
      <c r="L3" s="22" t="n">
        <v>4</v>
      </c>
      <c r="M3" s="22" t="n">
        <v>5</v>
      </c>
      <c r="N3" s="22" t="n">
        <v>4</v>
      </c>
      <c r="O3" s="22" t="n">
        <v>5</v>
      </c>
      <c r="P3" s="22" t="n">
        <v>5</v>
      </c>
      <c r="Q3" s="22" t="n">
        <v>4</v>
      </c>
      <c r="R3" s="22" t="n">
        <v>5</v>
      </c>
      <c r="S3" s="22" t="n">
        <v>4</v>
      </c>
      <c r="T3" s="22" t="n">
        <v>4</v>
      </c>
      <c r="U3" s="22" t="n">
        <v>5</v>
      </c>
      <c r="V3" s="22" t="n">
        <v>4</v>
      </c>
      <c r="W3" s="22" t="n">
        <v>5</v>
      </c>
      <c r="X3" s="22" t="n">
        <v>5</v>
      </c>
      <c r="Y3" s="22" t="n">
        <v>4</v>
      </c>
      <c r="Z3" s="22" t="n">
        <v>5</v>
      </c>
      <c r="AA3" s="22" t="n">
        <v>4</v>
      </c>
      <c r="AB3" s="22" t="n">
        <v>5</v>
      </c>
      <c r="AC3" s="22" t="n">
        <v>4</v>
      </c>
      <c r="AD3" s="22" t="n">
        <v>5</v>
      </c>
      <c r="AE3" s="22" t="n">
        <v>4</v>
      </c>
      <c r="AF3" s="22" t="n">
        <v>4</v>
      </c>
      <c r="AG3" s="22" t="n">
        <v>5</v>
      </c>
      <c r="AH3" s="22" t="n">
        <v>5</v>
      </c>
      <c r="AI3" s="22" t="n">
        <v>5</v>
      </c>
      <c r="AJ3" s="25">
        <f>AVERAGE(K3:P3)</f>
        <v/>
      </c>
      <c r="AK3" s="25">
        <f>AVERAGE(Q3:W3)</f>
        <v/>
      </c>
      <c r="AL3" s="25">
        <f>AVERAGE(X3:AC3)</f>
        <v/>
      </c>
      <c r="AM3" s="25">
        <f>AVERAGE(AD3:AI3)</f>
        <v/>
      </c>
      <c r="AN3" s="25">
        <f>AVERAGE(K3:AI3)</f>
        <v/>
      </c>
      <c r="AO3" s="26" t="inlineStr">
        <is>
          <t>The concrete industrial case studies in section 4 provide very practical inspiration for SME trainers.</t>
        </is>
      </c>
      <c r="AP3" s="26" t="inlineStr">
        <is>
          <t>Include more focus on open-source edge AI models suitable for manufacturing shop-floors.</t>
        </is>
      </c>
      <c r="AQ3" s="26" t="inlineStr">
        <is>
          <t>Clarify the differentiation between generic GenAI tools and specialized training copilots.</t>
        </is>
      </c>
      <c r="AR3" s="26" t="inlineStr">
        <is>
          <t>Provide a one-page executive summary taxonomy of tools at the beginning of the report.</t>
        </is>
      </c>
      <c r="AS3" s="26" t="inlineStr">
        <is>
          <t>Congratulations on the comprehensive mapping; it establishes a solid baseline for the project.</t>
        </is>
      </c>
    </row>
  </sheetData>
  <autoFilter ref="A2:AS3"/>
  <mergeCells count="7">
    <mergeCell ref="X1:AC1"/>
    <mergeCell ref="A1:J1"/>
    <mergeCell ref="K1:P1"/>
    <mergeCell ref="AD1:AI1"/>
    <mergeCell ref="AJ1:AN1"/>
    <mergeCell ref="Q1:W1"/>
    <mergeCell ref="AO1:A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52" customWidth="1" min="3" max="3"/>
    <col width="52" customWidth="1" min="4" max="4"/>
    <col width="24" customWidth="1" min="5" max="5"/>
  </cols>
  <sheetData>
    <row r="1" ht="32" customHeight="1">
      <c r="A1" s="27" t="inlineStr">
        <is>
          <t>LEARNING BRAINS (ERASMUS+) - NPC 1 CONSULTATION CODEBOOK &amp; VARIABLE DICTIONARY</t>
        </is>
      </c>
    </row>
    <row r="3" ht="26" customHeight="1">
      <c r="A3" s="28" t="inlineStr">
        <is>
          <t>Item Code</t>
        </is>
      </c>
      <c r="B3" s="29" t="inlineStr">
        <is>
          <t>Section Name</t>
        </is>
      </c>
      <c r="C3" s="29" t="inlineStr">
        <is>
          <t>Official Question Text (English)</t>
        </is>
      </c>
      <c r="D3" s="29" t="inlineStr">
        <is>
          <t>Question Text (Spanish Reference)</t>
        </is>
      </c>
      <c r="E3" s="28" t="inlineStr">
        <is>
          <t>Scale / Response Type</t>
        </is>
      </c>
    </row>
    <row r="4">
      <c r="A4" s="22" t="inlineStr">
        <is>
          <t>P1</t>
        </is>
      </c>
      <c r="B4" s="23" t="inlineStr">
        <is>
          <t>Section 2. R1 purpose and relevance</t>
        </is>
      </c>
      <c r="C4" s="30" t="inlineStr">
        <is>
          <t>The purpose and intended use of the Mapping Report are clear.</t>
        </is>
      </c>
      <c r="D4" s="30" t="inlineStr">
        <is>
          <t>El propósito y el uso previsto del Informe de Mapeo son claros.</t>
        </is>
      </c>
      <c r="E4" s="22" t="inlineStr">
        <is>
          <t>Likert Scale (1 - 5 + N/A)</t>
        </is>
      </c>
    </row>
    <row r="5">
      <c r="A5" s="22" t="inlineStr">
        <is>
          <t>P2</t>
        </is>
      </c>
      <c r="B5" s="23" t="inlineStr">
        <is>
          <t>Section 2. R1 purpose and relevance</t>
        </is>
      </c>
      <c r="C5" s="30" t="inlineStr">
        <is>
          <t>The report addresses relevant needs related to AI-supported on-the-job training in industrial companies.</t>
        </is>
      </c>
      <c r="D5" s="30" t="inlineStr">
        <is>
          <t>El informe responde a necesidades relevantes sobre formación en el puesto de trabajo con IA en empresas industriales.</t>
        </is>
      </c>
      <c r="E5" s="22" t="inlineStr">
        <is>
          <t>Likert Scale (1 - 5 + N/A)</t>
        </is>
      </c>
    </row>
    <row r="6">
      <c r="A6" s="22" t="inlineStr">
        <is>
          <t>P3</t>
        </is>
      </c>
      <c r="B6" s="23" t="inlineStr">
        <is>
          <t>Section 2. R1 purpose and relevance</t>
        </is>
      </c>
      <c r="C6" s="30" t="inlineStr">
        <is>
          <t>The report is relevant to HR managers, training managers, company trainers and other intended target groups.</t>
        </is>
      </c>
      <c r="D6" s="30" t="inlineStr">
        <is>
          <t>El informe es relevante para responsables de RRHH, directores de formación, formadores y otros grupos destinatarios.</t>
        </is>
      </c>
      <c r="E6" s="22" t="inlineStr">
        <is>
          <t>Likert Scale (1 - 5 + N/A)</t>
        </is>
      </c>
    </row>
    <row r="7">
      <c r="A7" s="22" t="inlineStr">
        <is>
          <t>P4</t>
        </is>
      </c>
      <c r="B7" s="23" t="inlineStr">
        <is>
          <t>Section 2. R1 purpose and relevance</t>
        </is>
      </c>
      <c r="C7" s="30" t="inlineStr">
        <is>
          <t>The report provides a useful overview of current developments in AI applied to workplace learning and training.</t>
        </is>
      </c>
      <c r="D7" s="30" t="inlineStr">
        <is>
          <t>El informe ofrece una visión global útil de los avances de la IA aplicada a la formación en el trabajo.</t>
        </is>
      </c>
      <c r="E7" s="22" t="inlineStr">
        <is>
          <t>Likert Scale (1 - 5 + N/A)</t>
        </is>
      </c>
    </row>
    <row r="8">
      <c r="A8" s="22" t="inlineStr">
        <is>
          <t>P5</t>
        </is>
      </c>
      <c r="B8" s="23" t="inlineStr">
        <is>
          <t>Section 2. R1 purpose and relevance</t>
        </is>
      </c>
      <c r="C8" s="30" t="inlineStr">
        <is>
          <t>The report maintains an appropriate focus on industrial companies and SMEs.</t>
        </is>
      </c>
      <c r="D8" s="30" t="inlineStr">
        <is>
          <t>El informe mantiene un enfoque adecuado en empresas industriales y PYMEs.</t>
        </is>
      </c>
      <c r="E8" s="22" t="inlineStr">
        <is>
          <t>Likert Scale (1 - 5 + N/A)</t>
        </is>
      </c>
    </row>
    <row r="9">
      <c r="A9" s="22" t="inlineStr">
        <is>
          <t>P6</t>
        </is>
      </c>
      <c r="B9" s="23" t="inlineStr">
        <is>
          <t>Section 2. R1 purpose and relevance</t>
        </is>
      </c>
      <c r="C9" s="30" t="inlineStr">
        <is>
          <t>The findings are sufficiently relevant to support the development of the Learning Brains Training Programme.</t>
        </is>
      </c>
      <c r="D9" s="30" t="inlineStr">
        <is>
          <t>Las conclusiones son suficientemente relevantes para sustentar el desarrollo del Itinerario Formativo.</t>
        </is>
      </c>
      <c r="E9" s="22" t="inlineStr">
        <is>
          <t>Likert Scale (1 - 5 + N/A)</t>
        </is>
      </c>
    </row>
    <row r="10">
      <c r="A10" s="22" t="inlineStr">
        <is>
          <t>Q1</t>
        </is>
      </c>
      <c r="B10" s="23" t="inlineStr">
        <is>
          <t>Section 3. Quality and coverage of the mapping</t>
        </is>
      </c>
      <c r="C10" s="30" t="inlineStr">
        <is>
          <t>The report is clearly structured and easy to navigate.</t>
        </is>
      </c>
      <c r="D10" s="30" t="inlineStr">
        <is>
          <t>El informe está claramente estructurado y es fácil de navegar y consultar.</t>
        </is>
      </c>
      <c r="E10" s="22" t="inlineStr">
        <is>
          <t>Likert Scale (1 - 5 + N/A)</t>
        </is>
      </c>
    </row>
    <row r="11">
      <c r="A11" s="22" t="inlineStr">
        <is>
          <t>Q2</t>
        </is>
      </c>
      <c r="B11" s="23" t="inlineStr">
        <is>
          <t>Section 3. Quality and coverage of the mapping</t>
        </is>
      </c>
      <c r="C11" s="30" t="inlineStr">
        <is>
          <t>The main findings and trends are explained in a clear and understandable way.</t>
        </is>
      </c>
      <c r="D11" s="30" t="inlineStr">
        <is>
          <t>Los hallazgos y tendencias principales se explican de forma clara y comprensible.</t>
        </is>
      </c>
      <c r="E11" s="22" t="inlineStr">
        <is>
          <t>Likert Scale (1 - 5 + N/A)</t>
        </is>
      </c>
    </row>
    <row r="12">
      <c r="A12" s="22" t="inlineStr">
        <is>
          <t>Q3</t>
        </is>
      </c>
      <c r="B12" s="23" t="inlineStr">
        <is>
          <t>Section 3. Quality and coverage of the mapping</t>
        </is>
      </c>
      <c r="C12" s="30" t="inlineStr">
        <is>
          <t>The range of AI tools and applications covered is appropriate for the purpose of the report.</t>
        </is>
      </c>
      <c r="D12" s="30" t="inlineStr">
        <is>
          <t>La gama de herramientas y aplicaciones de IA abordadas es adecuada para el propósito del informe.</t>
        </is>
      </c>
      <c r="E12" s="22" t="inlineStr">
        <is>
          <t>Likert Scale (1 - 5 + N/A)</t>
        </is>
      </c>
    </row>
    <row r="13">
      <c r="A13" s="22" t="inlineStr">
        <is>
          <t>Q4</t>
        </is>
      </c>
      <c r="B13" s="23" t="inlineStr">
        <is>
          <t>Section 3. Quality and coverage of the mapping</t>
        </is>
      </c>
      <c r="C13" s="30" t="inlineStr">
        <is>
          <t>The report provides a balanced view of opportunities, limitations and implementation challenges.</t>
        </is>
      </c>
      <c r="D13" s="30" t="inlineStr">
        <is>
          <t>El informe ofrece una visión equilibrada de oportunidades, limitaciones y desafíos de implantación.</t>
        </is>
      </c>
      <c r="E13" s="22" t="inlineStr">
        <is>
          <t>Likert Scale (1 - 5 + N/A)</t>
        </is>
      </c>
    </row>
    <row r="14">
      <c r="A14" s="22" t="inlineStr">
        <is>
          <t>Q5</t>
        </is>
      </c>
      <c r="B14" s="23" t="inlineStr">
        <is>
          <t>Section 3. Quality and coverage of the mapping</t>
        </is>
      </c>
      <c r="C14" s="30" t="inlineStr">
        <is>
          <t>The information presented appears sufficiently current and relevant to today’s training context.</t>
        </is>
      </c>
      <c r="D14" s="30" t="inlineStr">
        <is>
          <t>La información presentada está suficientemente actualizada y vigente para la formación actual.</t>
        </is>
      </c>
      <c r="E14" s="22" t="inlineStr">
        <is>
          <t>Likert Scale (1 - 5 + N/A)</t>
        </is>
      </c>
    </row>
    <row r="15">
      <c r="A15" s="22" t="inlineStr">
        <is>
          <t>Q6</t>
        </is>
      </c>
      <c r="B15" s="23" t="inlineStr">
        <is>
          <t>Section 3. Quality and coverage of the mapping</t>
        </is>
      </c>
      <c r="C15" s="30" t="inlineStr">
        <is>
          <t>The report reflects a useful range of company, sectoral and/or national contexts.</t>
        </is>
      </c>
      <c r="D15" s="30" t="inlineStr">
        <is>
          <t>El informe refleja una variedad útil de contextos empresariales, sectoriales y nacionales.</t>
        </is>
      </c>
      <c r="E15" s="22" t="inlineStr">
        <is>
          <t>Likert Scale (1 - 5 + N/A)</t>
        </is>
      </c>
    </row>
    <row r="16">
      <c r="A16" s="22" t="inlineStr">
        <is>
          <t>Q7</t>
        </is>
      </c>
      <c r="B16" s="23" t="inlineStr">
        <is>
          <t>Section 3. Quality and coverage of the mapping</t>
        </is>
      </c>
      <c r="C16" s="30" t="inlineStr">
        <is>
          <t>The conclusions are consistent with the evidence and examples presented in the report.</t>
        </is>
      </c>
      <c r="D16" s="30" t="inlineStr">
        <is>
          <t>Las conclusiones son coherentes con las evidencias y ejemplos presentados.</t>
        </is>
      </c>
      <c r="E16" s="22" t="inlineStr">
        <is>
          <t>Likert Scale (1 - 5 + N/A)</t>
        </is>
      </c>
    </row>
    <row r="17">
      <c r="A17" s="22" t="inlineStr">
        <is>
          <t>T1</t>
        </is>
      </c>
      <c r="B17" s="23" t="inlineStr">
        <is>
          <t>Section 4. AI tools, trends and case studies</t>
        </is>
      </c>
      <c r="C17" s="30" t="inlineStr">
        <is>
          <t>The report helps readers understand the potential strengths and limitations of different AI applications.</t>
        </is>
      </c>
      <c r="D17" s="30" t="inlineStr">
        <is>
          <t>El informe ayuda a comprender las fortalezas y limitaciones de diferentes aplicaciones de IA.</t>
        </is>
      </c>
      <c r="E17" s="22" t="inlineStr">
        <is>
          <t>Likert Scale (1 - 5 + N/A)</t>
        </is>
      </c>
    </row>
    <row r="18">
      <c r="A18" s="22" t="inlineStr">
        <is>
          <t>T2</t>
        </is>
      </c>
      <c r="B18" s="23" t="inlineStr">
        <is>
          <t>Section 4. AI tools, trends and case studies</t>
        </is>
      </c>
      <c r="C18" s="30" t="inlineStr">
        <is>
          <t>The case studies or practical examples are clear and useful.</t>
        </is>
      </c>
      <c r="D18" s="30" t="inlineStr">
        <is>
          <t>Los casos de estudio o ejemplos prácticos son claros y útiles.</t>
        </is>
      </c>
      <c r="E18" s="22" t="inlineStr">
        <is>
          <t>Likert Scale (1 - 5 + N/A)</t>
        </is>
      </c>
    </row>
    <row r="19">
      <c r="A19" s="22" t="inlineStr">
        <is>
          <t>T3</t>
        </is>
      </c>
      <c r="B19" s="23" t="inlineStr">
        <is>
          <t>Section 4. AI tools, trends and case studies</t>
        </is>
      </c>
      <c r="C19" s="30" t="inlineStr">
        <is>
          <t>The selected examples illustrate realistic applications of AI in workplace learning.</t>
        </is>
      </c>
      <c r="D19" s="30" t="inlineStr">
        <is>
          <t>Los ejemplos seleccionados ilustran aplicaciones realistas de la IA en la formación laboral.</t>
        </is>
      </c>
      <c r="E19" s="22" t="inlineStr">
        <is>
          <t>Likert Scale (1 - 5 + N/A)</t>
        </is>
      </c>
    </row>
    <row r="20">
      <c r="A20" s="22" t="inlineStr">
        <is>
          <t>T4</t>
        </is>
      </c>
      <c r="B20" s="23" t="inlineStr">
        <is>
          <t>Section 4. AI tools, trends and case studies</t>
        </is>
      </c>
      <c r="C20" s="30" t="inlineStr">
        <is>
          <t>The report provides enough information to understand the suitability of different approaches for different organisational contexts.</t>
        </is>
      </c>
      <c r="D20" s="30" t="inlineStr">
        <is>
          <t>El informe aporta información suficiente sobre la idoneidad de los enfoques según el contexto organizativo.</t>
        </is>
      </c>
      <c r="E20" s="22" t="inlineStr">
        <is>
          <t>Likert Scale (1 - 5 + N/A)</t>
        </is>
      </c>
    </row>
    <row r="21">
      <c r="A21" s="22" t="inlineStr">
        <is>
          <t>T5</t>
        </is>
      </c>
      <c r="B21" s="23" t="inlineStr">
        <is>
          <t>Section 4. AI tools, trends and case studies</t>
        </is>
      </c>
      <c r="C21" s="30" t="inlineStr">
        <is>
          <t>The trends and practices highlighted are relevant enough to inform future training content.</t>
        </is>
      </c>
      <c r="D21" s="30" t="inlineStr">
        <is>
          <t>Las tendencias y prácticas destacadas son relevantes para fundamentar futuros contenidos formativos.</t>
        </is>
      </c>
      <c r="E21" s="22" t="inlineStr">
        <is>
          <t>Likert Scale (1 - 5 + N/A)</t>
        </is>
      </c>
    </row>
    <row r="22">
      <c r="A22" s="22" t="inlineStr">
        <is>
          <t>T6</t>
        </is>
      </c>
      <c r="B22" s="23" t="inlineStr">
        <is>
          <t>Section 4. AI tools, trends and case studies</t>
        </is>
      </c>
      <c r="C22" s="30" t="inlineStr">
        <is>
          <t>The report helps distinguish promising practical uses of AI from applications with limited relevance to workplace training.</t>
        </is>
      </c>
      <c r="D22" s="30" t="inlineStr">
        <is>
          <t>El informe ayuda a distinguir usos prometedores de la IA de aplicaciones de escasa utilidad formativa.</t>
        </is>
      </c>
      <c r="E22" s="22" t="inlineStr">
        <is>
          <t>Likert Scale (1 - 5 + N/A)</t>
        </is>
      </c>
    </row>
    <row r="23">
      <c r="A23" s="22" t="inlineStr">
        <is>
          <t>V1</t>
        </is>
      </c>
      <c r="B23" s="23" t="inlineStr">
        <is>
          <t>Section 5. Practical value and transferability</t>
        </is>
      </c>
      <c r="C23" s="30" t="inlineStr">
        <is>
          <t>The report can help HR and training professionals identify possible uses of AI in their own organisations.</t>
        </is>
      </c>
      <c r="D23" s="30" t="inlineStr">
        <is>
          <t>El informe ayuda a profesionales de RRHH y formación a identificar posibles usos en sus organizaciones.</t>
        </is>
      </c>
      <c r="E23" s="22" t="inlineStr">
        <is>
          <t>Likert Scale (1 - 5 + N/A)</t>
        </is>
      </c>
    </row>
    <row r="24">
      <c r="A24" s="22" t="inlineStr">
        <is>
          <t>V2</t>
        </is>
      </c>
      <c r="B24" s="23" t="inlineStr">
        <is>
          <t>Section 5. Practical value and transferability</t>
        </is>
      </c>
      <c r="C24" s="30" t="inlineStr">
        <is>
          <t>The findings are transferable to different industrial company contexts.</t>
        </is>
      </c>
      <c r="D24" s="30" t="inlineStr">
        <is>
          <t>Las conclusiones son transferibles a diversos contextos de empresas industriales.</t>
        </is>
      </c>
      <c r="E24" s="22" t="inlineStr">
        <is>
          <t>Likert Scale (1 - 5 + N/A)</t>
        </is>
      </c>
    </row>
    <row r="25">
      <c r="A25" s="22" t="inlineStr">
        <is>
          <t>V3</t>
        </is>
      </c>
      <c r="B25" s="23" t="inlineStr">
        <is>
          <t>Section 5. Practical value and transferability</t>
        </is>
      </c>
      <c r="C25" s="30" t="inlineStr">
        <is>
          <t>The report provides useful reference points for organisations with different levels of digital maturity.</t>
        </is>
      </c>
      <c r="D25" s="30" t="inlineStr">
        <is>
          <t>El informe ofrece puntos de referencia útiles para organizaciones con distintos niveles de madurez digital.</t>
        </is>
      </c>
      <c r="E25" s="22" t="inlineStr">
        <is>
          <t>Likert Scale (1 - 5 + N/A)</t>
        </is>
      </c>
    </row>
    <row r="26">
      <c r="A26" s="22" t="inlineStr">
        <is>
          <t>V4</t>
        </is>
      </c>
      <c r="B26" s="23" t="inlineStr">
        <is>
          <t>Section 5. Practical value and transferability</t>
        </is>
      </c>
      <c r="C26" s="30" t="inlineStr">
        <is>
          <t>The report supports informed decision-making rather than presenting AI tools as solutions in themselves.</t>
        </is>
      </c>
      <c r="D26" s="30" t="inlineStr">
        <is>
          <t>El informe respalda la toma de decisiones informada sin presentar las herramientas como fines en sí mismas.</t>
        </is>
      </c>
      <c r="E26" s="22" t="inlineStr">
        <is>
          <t>Likert Scale (1 - 5 + N/A)</t>
        </is>
      </c>
    </row>
    <row r="27">
      <c r="A27" s="22" t="inlineStr">
        <is>
          <t>V5</t>
        </is>
      </c>
      <c r="B27" s="23" t="inlineStr">
        <is>
          <t>Section 5. Practical value and transferability</t>
        </is>
      </c>
      <c r="C27" s="30" t="inlineStr">
        <is>
          <t>Ethical, legal, data protection and/or inclusion considerations are given appropriate attention where relevant.</t>
        </is>
      </c>
      <c r="D27" s="30" t="inlineStr">
        <is>
          <t>Se presta la debida atención a aspectos éticos, legales, protección de datos e inclusión cuando corresponde.</t>
        </is>
      </c>
      <c r="E27" s="22" t="inlineStr">
        <is>
          <t>Likert Scale (1 - 5 + N/A)</t>
        </is>
      </c>
    </row>
    <row r="28">
      <c r="A28" s="22" t="inlineStr">
        <is>
          <t>V6</t>
        </is>
      </c>
      <c r="B28" s="23" t="inlineStr">
        <is>
          <t>Section 5. Practical value and transferability</t>
        </is>
      </c>
      <c r="C28" s="30" t="inlineStr">
        <is>
          <t>Overall, the report provides a solid knowledge base for the Learning Brains Training Programme and Toolkit.</t>
        </is>
      </c>
      <c r="D28" s="30" t="inlineStr">
        <is>
          <t>En conjunto, el informe aporta una base sólida para el Itinerario Formativo y el Toolkit de Learning Brains.</t>
        </is>
      </c>
      <c r="E28" s="22" t="inlineStr">
        <is>
          <t>Likert Scale (1 - 5 + N/A)</t>
        </is>
      </c>
    </row>
    <row r="29">
      <c r="A29" s="22" t="inlineStr">
        <is>
          <t>REC_1</t>
        </is>
      </c>
      <c r="B29" s="23" t="inlineStr">
        <is>
          <t>Section 6. Key recommendations</t>
        </is>
      </c>
      <c r="C29" s="30" t="inlineStr">
        <is>
          <t>Which findings, trends, tools or case studies do you consider most relevant and worth emphasising in the final Mapping Report?</t>
        </is>
      </c>
      <c r="D29" s="30" t="inlineStr">
        <is>
          <t>¿Qué hallazgos, tendencias, herramientas o casos consideras más relevantes y destacables en el informe final?</t>
        </is>
      </c>
      <c r="E29" s="22" t="inlineStr">
        <is>
          <t>Open Qualitative Text</t>
        </is>
      </c>
    </row>
    <row r="30">
      <c r="A30" s="22" t="inlineStr">
        <is>
          <t>REC_2</t>
        </is>
      </c>
      <c r="B30" s="23" t="inlineStr">
        <is>
          <t>Section 6. Key recommendations</t>
        </is>
      </c>
      <c r="C30" s="30" t="inlineStr">
        <is>
          <t>Is there any important trend, type of AI application, implementation challenge or perspective that is missing or underrepresented?</t>
        </is>
      </c>
      <c r="D30" s="30" t="inlineStr">
        <is>
          <t>¿Falta o está poco representada alguna tendencia, tipo de IA, reto de implantación o perspectiva relevante?</t>
        </is>
      </c>
      <c r="E30" s="22" t="inlineStr">
        <is>
          <t>Open Qualitative Text</t>
        </is>
      </c>
    </row>
    <row r="31">
      <c r="A31" s="22" t="inlineStr">
        <is>
          <t>REC_3</t>
        </is>
      </c>
      <c r="B31" s="23" t="inlineStr">
        <is>
          <t>Section 6. Key recommendations</t>
        </is>
      </c>
      <c r="C31" s="30" t="inlineStr">
        <is>
          <t>Are there any sections or statements that should be clarified, corrected, updated or simplified?</t>
        </is>
      </c>
      <c r="D31" s="30" t="inlineStr">
        <is>
          <t>¿Hay secciones o afirmaciones que deban aclararse, corregirse, actualizarse o simplificarse?</t>
        </is>
      </c>
      <c r="E31" s="22" t="inlineStr">
        <is>
          <t>Open Qualitative Text</t>
        </is>
      </c>
    </row>
    <row r="32">
      <c r="A32" s="22" t="inlineStr">
        <is>
          <t>REC_4</t>
        </is>
      </c>
      <c r="B32" s="23" t="inlineStr">
        <is>
          <t>Section 6. Key recommendations</t>
        </is>
      </c>
      <c r="C32" s="30" t="inlineStr">
        <is>
          <t>What is the single most important improvement you would recommend before finalising the Mapping Report?</t>
        </is>
      </c>
      <c r="D32" s="30" t="inlineStr">
        <is>
          <t>¿Cuál es la mejora principal y más importante que recomendarías antes de cerrar el informe?</t>
        </is>
      </c>
      <c r="E32" s="22" t="inlineStr">
        <is>
          <t>Open Qualitative Text</t>
        </is>
      </c>
    </row>
    <row r="33">
      <c r="A33" s="22" t="inlineStr">
        <is>
          <t>REC_5</t>
        </is>
      </c>
      <c r="B33" s="23" t="inlineStr">
        <is>
          <t>Section 6. Key recommendations</t>
        </is>
      </c>
      <c r="C33" s="30" t="inlineStr">
        <is>
          <t>Optional: Is there anything else you would like to add that has not been covered by the previous questions?</t>
        </is>
      </c>
      <c r="D33" s="30" t="inlineStr">
        <is>
          <t>Opcional: ¿Deseas añadir algún otro comentario u observación no abordada anteriormente?</t>
        </is>
      </c>
      <c r="E33" s="22" t="inlineStr">
        <is>
          <t>Open Qualitative Text</t>
        </is>
      </c>
    </row>
    <row r="36">
      <c r="A36" s="31" t="inlineStr">
        <is>
          <t>Rating Scale Definition:</t>
        </is>
      </c>
    </row>
    <row r="37">
      <c r="A37" s="22" t="inlineStr">
        <is>
          <t>1</t>
        </is>
      </c>
      <c r="B37" s="23" t="inlineStr">
        <is>
          <t>Strongly Disagree / Totalmente en desacuerdo</t>
        </is>
      </c>
    </row>
    <row r="38">
      <c r="A38" s="22" t="inlineStr">
        <is>
          <t>2</t>
        </is>
      </c>
      <c r="B38" s="23" t="inlineStr">
        <is>
          <t>Disagree / En desacuerdo</t>
        </is>
      </c>
    </row>
    <row r="39">
      <c r="A39" s="22" t="inlineStr">
        <is>
          <t>3</t>
        </is>
      </c>
      <c r="B39" s="23" t="inlineStr">
        <is>
          <t>Neither agree nor disagree / Neutral (Ni de acuerdo ni en desacuerdo)</t>
        </is>
      </c>
    </row>
    <row r="40">
      <c r="A40" s="22" t="inlineStr">
        <is>
          <t>4</t>
        </is>
      </c>
      <c r="B40" s="23" t="inlineStr">
        <is>
          <t>Agree / De acuerdo</t>
        </is>
      </c>
    </row>
    <row r="41">
      <c r="A41" s="22" t="inlineStr">
        <is>
          <t>5</t>
        </is>
      </c>
      <c r="B41" s="23" t="inlineStr">
        <is>
          <t>Strongly Agree / Totalmente de acuerdo</t>
        </is>
      </c>
    </row>
    <row r="42">
      <c r="A42" s="22" t="inlineStr">
        <is>
          <t>N/A</t>
        </is>
      </c>
      <c r="B42" s="23" t="inlineStr">
        <is>
          <t>Not applicable / I cannot assess / No aplicable o no puedo evaluar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6" customWidth="1" min="3" max="3"/>
    <col width="38" customWidth="1" min="4" max="4"/>
  </cols>
  <sheetData>
    <row r="1" ht="30" customHeight="1">
      <c r="A1" s="27" t="inlineStr">
        <is>
          <t>LEARNING BRAINS (ERASMUS+) - NPC 1 EXECUTIVE EVALUATION DASHBOARD</t>
        </is>
      </c>
    </row>
    <row r="3">
      <c r="A3" s="32" t="inlineStr">
        <is>
          <t>Evaluation Dimension / Area</t>
        </is>
      </c>
      <c r="B3" s="33" t="inlineStr">
        <is>
          <t>Key Metric</t>
        </is>
      </c>
      <c r="C3" s="33" t="inlineStr">
        <is>
          <t>Score Range / Target</t>
        </is>
      </c>
      <c r="D3" s="33" t="inlineStr">
        <is>
          <t>Calculation Basis</t>
        </is>
      </c>
    </row>
    <row r="4">
      <c r="A4" s="23" t="inlineStr">
        <is>
          <t>Total Completed Validations Received</t>
        </is>
      </c>
      <c r="B4" s="34">
        <f>COUNTA(Validation_Responses!A3:A500)</f>
        <v/>
      </c>
      <c r="C4" s="35" t="inlineStr">
        <is>
          <t>Total Count</t>
        </is>
      </c>
      <c r="D4" s="36" t="inlineStr">
        <is>
          <t>Respondent entries count</t>
        </is>
      </c>
    </row>
    <row r="5">
      <c r="A5" s="23" t="inlineStr">
        <is>
          <t>Section 2: Purpose &amp; Relevance Mean</t>
        </is>
      </c>
      <c r="B5" s="37">
        <f>AVERAGE(Validation_Responses!AJ3:AJ500)</f>
        <v/>
      </c>
      <c r="C5" s="35" t="inlineStr">
        <is>
          <t>1.00 - 5.00 (Target &gt;= 4.0)</t>
        </is>
      </c>
      <c r="D5" s="36" t="inlineStr">
        <is>
          <t>Average of items P1 to P6</t>
        </is>
      </c>
    </row>
    <row r="6">
      <c r="A6" s="23" t="inlineStr">
        <is>
          <t>Section 3: Quality &amp; Coverage of Mapping Mean</t>
        </is>
      </c>
      <c r="B6" s="37">
        <f>AVERAGE(Validation_Responses!AK3:AK500)</f>
        <v/>
      </c>
      <c r="C6" s="35" t="inlineStr">
        <is>
          <t>1.00 - 5.00 (Target &gt;= 4.0)</t>
        </is>
      </c>
      <c r="D6" s="36" t="inlineStr">
        <is>
          <t>Average of items Q1 to Q7</t>
        </is>
      </c>
    </row>
    <row r="7">
      <c r="A7" s="23" t="inlineStr">
        <is>
          <t>Section 4: AI Tools, Trends &amp; Case Studies Mean</t>
        </is>
      </c>
      <c r="B7" s="37">
        <f>AVERAGE(Validation_Responses!AL3:AL500)</f>
        <v/>
      </c>
      <c r="C7" s="35" t="inlineStr">
        <is>
          <t>1.00 - 5.00 (Target &gt;= 4.0)</t>
        </is>
      </c>
      <c r="D7" s="36" t="inlineStr">
        <is>
          <t>Average of items T1 to T6</t>
        </is>
      </c>
    </row>
    <row r="8">
      <c r="A8" s="23" t="inlineStr">
        <is>
          <t>Section 5: Practical Value &amp; Transferability Mean</t>
        </is>
      </c>
      <c r="B8" s="37">
        <f>AVERAGE(Validation_Responses!AM3:AM500)</f>
        <v/>
      </c>
      <c r="C8" s="35" t="inlineStr">
        <is>
          <t>1.00 - 5.00 (Target &gt;= 4.0)</t>
        </is>
      </c>
      <c r="D8" s="36" t="inlineStr">
        <is>
          <t>Average of items V1 to V6</t>
        </is>
      </c>
    </row>
    <row r="9">
      <c r="A9" s="38" t="inlineStr">
        <is>
          <t>OVERALL NPC 1 EVALUATION SCORE</t>
        </is>
      </c>
      <c r="B9" s="39">
        <f>AVERAGE(Validation_Responses!AN3:AN500)</f>
        <v/>
      </c>
      <c r="C9" s="40" t="inlineStr">
        <is>
          <t>1.00 - 5.00 (Target &gt;= 4.0)</t>
        </is>
      </c>
      <c r="D9" s="41" t="inlineStr">
        <is>
          <t>Overall Mean across all 25 Likert items</t>
        </is>
      </c>
    </row>
    <row r="12">
      <c r="A12" s="31" t="inlineStr">
        <is>
          <t>Country Distribution</t>
        </is>
      </c>
    </row>
    <row r="13">
      <c r="A13" s="42" t="inlineStr">
        <is>
          <t>Country Name</t>
        </is>
      </c>
      <c r="B13" s="43" t="inlineStr">
        <is>
          <t>Responses Count</t>
        </is>
      </c>
    </row>
    <row r="14">
      <c r="A14" s="23" t="inlineStr">
        <is>
          <t>Spain</t>
        </is>
      </c>
      <c r="B14" s="22">
        <f>COUNTIF(Validation_Responses!H3:H500, "Spain")</f>
        <v/>
      </c>
    </row>
    <row r="15">
      <c r="A15" s="23" t="inlineStr">
        <is>
          <t>Italy</t>
        </is>
      </c>
      <c r="B15" s="22">
        <f>COUNTIF(Validation_Responses!H3:H500, "Italy")</f>
        <v/>
      </c>
    </row>
    <row r="16">
      <c r="A16" s="23" t="inlineStr">
        <is>
          <t>Portugal</t>
        </is>
      </c>
      <c r="B16" s="22">
        <f>COUNTIF(Validation_Responses!H3:H500, "Portugal")</f>
        <v/>
      </c>
    </row>
    <row r="17">
      <c r="A17" s="23" t="inlineStr">
        <is>
          <t>Austria</t>
        </is>
      </c>
      <c r="B17" s="22">
        <f>COUNTIF(Validation_Responses!H3:H500, "Austria")</f>
        <v/>
      </c>
    </row>
    <row r="18">
      <c r="A18" s="23" t="inlineStr">
        <is>
          <t>Slovakia</t>
        </is>
      </c>
      <c r="B18" s="22">
        <f>COUNTIF(Validation_Responses!H3:H500, "Slovakia")</f>
        <v/>
      </c>
    </row>
    <row r="21">
      <c r="A21" s="31" t="inlineStr">
        <is>
          <t>Professional Profile Distribution</t>
        </is>
      </c>
    </row>
    <row r="22">
      <c r="A22" s="44" t="inlineStr">
        <is>
          <t>Profile Category</t>
        </is>
      </c>
      <c r="B22" s="45" t="inlineStr">
        <is>
          <t>Responses Count</t>
        </is>
      </c>
    </row>
    <row r="23">
      <c r="A23" s="23" t="inlineStr">
        <is>
          <t>Industrial company</t>
        </is>
      </c>
      <c r="B23" s="22">
        <f>COUNTIF(Validation_Responses!I3:I500, "Industrial company")</f>
        <v/>
      </c>
    </row>
    <row r="24">
      <c r="A24" s="23" t="inlineStr">
        <is>
          <t>HR / training management</t>
        </is>
      </c>
      <c r="B24" s="22">
        <f>COUNTIF(Validation_Responses!I3:I500, "HR / training management")</f>
        <v/>
      </c>
    </row>
    <row r="25">
      <c r="A25" s="23" t="inlineStr">
        <is>
          <t>Company trainer / c-VET</t>
        </is>
      </c>
      <c r="B25" s="22">
        <f>COUNTIF(Validation_Responses!I3:I500, "Company trainer / c-VET")</f>
        <v/>
      </c>
    </row>
    <row r="26">
      <c r="A26" s="23" t="inlineStr">
        <is>
          <t>AI / digital technologies</t>
        </is>
      </c>
      <c r="B26" s="22">
        <f>COUNTIF(Validation_Responses!I3:I500, "AI / digital technologies")</f>
        <v/>
      </c>
    </row>
    <row r="27">
      <c r="A27" s="23" t="inlineStr">
        <is>
          <t>Industry 4.0 / innovation</t>
        </is>
      </c>
      <c r="B27" s="22">
        <f>COUNTIF(Validation_Responses!I3:I500, "Industry 4.0 / innovation")</f>
        <v/>
      </c>
    </row>
    <row r="28">
      <c r="A28" s="23" t="inlineStr">
        <is>
          <t>Research / academia</t>
        </is>
      </c>
      <c r="B28" s="22">
        <f>COUNTIF(Validation_Responses!I3:I500, "Research / academia")</f>
        <v/>
      </c>
    </row>
    <row r="29">
      <c r="A29" s="23" t="inlineStr">
        <is>
          <t>Other</t>
        </is>
      </c>
      <c r="B29" s="22">
        <f>COUNTIF(Validation_Responses!I3:I500, "Other*")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2026-09-29T10:55:26Z</dcterms:created>
  <dcterms:modified xmlns:dcterms="http://purl.org/dc/terms/" xmlns:xsi="http://www.w3.org/2001/XMLSchema-instance" xsi:type="dcterms:W3CDTF">2026-09-29T10:55:26Z</dcterms:modified>
</cp:coreProperties>
</file>